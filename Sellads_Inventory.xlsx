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03b2a7e6fa1a87/Sell Ads/"/>
    </mc:Choice>
  </mc:AlternateContent>
  <xr:revisionPtr revIDLastSave="4" documentId="8_{82346A48-DC71-A84B-8D12-7E3E158A29FD}" xr6:coauthVersionLast="47" xr6:coauthVersionMax="47" xr10:uidLastSave="{E4246A4A-05B3-DD44-AAE6-5BDEAC8CDDFF}"/>
  <bookViews>
    <workbookView xWindow="0" yWindow="660" windowWidth="30240" windowHeight="17260" tabRatio="846" activeTab="4" xr2:uid="{00000000-000D-0000-FFFF-FFFF00000000}"/>
  </bookViews>
  <sheets>
    <sheet name="Nagpur" sheetId="1" r:id="rId1"/>
    <sheet name="pawar" sheetId="72" state="hidden" r:id="rId2"/>
    <sheet name="Amravati Hoarding" sheetId="5" r:id="rId3"/>
    <sheet name="Jhansi Rani Metro Station " sheetId="35" r:id="rId4"/>
    <sheet name="sitabuldi ichange metro Station" sheetId="25" r:id="rId5"/>
    <sheet name="Akola" sheetId="84" r:id="rId6"/>
    <sheet name="Bhandara Hoarding " sheetId="9" r:id="rId7"/>
    <sheet name="Eternity Mall" sheetId="15" state="hidden" r:id="rId8"/>
    <sheet name="NGP KIOSK" sheetId="23" state="hidden" r:id="rId9"/>
    <sheet name="Metro Median Signages New" sheetId="61" state="hidden" r:id="rId10"/>
    <sheet name="Akola Hoarding" sheetId="14" state="hidden" r:id="rId11"/>
    <sheet name="Chandrapur Hoarding" sheetId="10" r:id="rId12"/>
    <sheet name="Gondia" sheetId="42" r:id="rId13"/>
    <sheet name="Wardha" sheetId="43" r:id="rId14"/>
    <sheet name="Metro Pillar Signages CURRENT" sheetId="70" r:id="rId15"/>
    <sheet name="Avl sign list" sheetId="78" state="hidden" r:id="rId16"/>
    <sheet name="Sheet1" sheetId="77" state="hidden" r:id="rId17"/>
    <sheet name="Sheet3" sheetId="76" state="hidden" r:id="rId18"/>
    <sheet name="Amravati Kiosks" sheetId="6" state="hidden" r:id="rId19"/>
    <sheet name="Amravati IBS" sheetId="7" state="hidden" r:id="rId20"/>
    <sheet name="Amt Trfaffic booth" sheetId="8" state="hidden" r:id="rId21"/>
  </sheets>
  <definedNames>
    <definedName name="_xlnm._FilterDatabase" localSheetId="10" hidden="1">'Akola Hoarding'!$A$1:$AB$20</definedName>
    <definedName name="_xlnm._FilterDatabase" localSheetId="2" hidden="1">'Amravati Hoarding'!$A$1:$N$11</definedName>
    <definedName name="_xlnm._FilterDatabase" localSheetId="19" hidden="1">'Amravati IBS'!$A$1:$J$106</definedName>
    <definedName name="_xlnm._FilterDatabase" localSheetId="6" hidden="1">'Bhandara Hoarding '!$A$1:$N$8</definedName>
    <definedName name="_xlnm._FilterDatabase" localSheetId="11" hidden="1">'Chandrapur Hoarding'!$A$1:$R$17</definedName>
    <definedName name="_xlnm._FilterDatabase" localSheetId="7" hidden="1">'Eternity Mall'!$A$3:$X$8</definedName>
    <definedName name="_xlnm._FilterDatabase" localSheetId="12" hidden="1">Gondia!$A$1:$N$6</definedName>
    <definedName name="_xlnm._FilterDatabase" localSheetId="3" hidden="1">'Jhansi Rani Metro Station '!$A$2:$O$3</definedName>
    <definedName name="_xlnm._FilterDatabase" localSheetId="9" hidden="1">'Metro Median Signages New'!$A$1:$AG$53</definedName>
    <definedName name="_xlnm._FilterDatabase" localSheetId="14" hidden="1">'Metro Pillar Signages CURRENT'!$A$1:$IH$81</definedName>
    <definedName name="_xlnm._FilterDatabase" localSheetId="0" hidden="1">Nagpur!$A$1:$R$89</definedName>
    <definedName name="_xlnm._FilterDatabase" localSheetId="8" hidden="1">'NGP KIOSK'!$A$1:$AF$2</definedName>
    <definedName name="_xlnm._FilterDatabase" localSheetId="4" hidden="1">'sitabuldi ichange metro Station'!$A$1:$R$26</definedName>
    <definedName name="_xlnm._FilterDatabase" localSheetId="13" hidden="1">Wardha!$A$1:$N$6</definedName>
    <definedName name="_xlnm.Print_Area" localSheetId="14">'Metro Pillar Signages CURRENT'!$B$1:$U$48</definedName>
    <definedName name="_xlnm.Print_Area" localSheetId="0">Nagpur!$B$1:$R$60</definedName>
    <definedName name="_xlnm.Print_Area" localSheetId="4">'sitabuldi ichange metro Station'!$B$1:$R$25</definedName>
    <definedName name="_xlnm.Print_Area" localSheetId="13">Wardha!$A$1:$N$6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1" l="1"/>
  <c r="M39" i="70" l="1"/>
  <c r="K23" i="70" l="1"/>
  <c r="K6" i="70" l="1"/>
  <c r="M4" i="25" l="1"/>
  <c r="K18" i="1" l="1"/>
  <c r="K70" i="1" l="1"/>
  <c r="K64" i="1"/>
  <c r="K65" i="1"/>
  <c r="K66" i="1"/>
  <c r="K67" i="1"/>
  <c r="K68" i="1"/>
  <c r="K69" i="1"/>
  <c r="K10" i="1" l="1"/>
  <c r="K57" i="1"/>
  <c r="K48" i="70" l="1"/>
  <c r="K14" i="1"/>
  <c r="E2" i="5" l="1"/>
  <c r="E3" i="5"/>
  <c r="E4" i="5"/>
  <c r="E5" i="5"/>
  <c r="E6" i="5"/>
  <c r="E7" i="5"/>
  <c r="E8" i="5"/>
  <c r="K12" i="1" l="1"/>
  <c r="M12" i="70"/>
  <c r="U57" i="70" l="1"/>
  <c r="S57" i="70"/>
  <c r="Q57" i="70"/>
  <c r="M57" i="70"/>
  <c r="M56" i="70"/>
  <c r="K56" i="70"/>
  <c r="Q56" i="70" s="1"/>
  <c r="M55" i="70"/>
  <c r="K55" i="70"/>
  <c r="S55" i="70" s="1"/>
  <c r="U54" i="70"/>
  <c r="S54" i="70"/>
  <c r="Q54" i="70"/>
  <c r="M54" i="70"/>
  <c r="M53" i="70"/>
  <c r="K53" i="70"/>
  <c r="U53" i="70" s="1"/>
  <c r="M52" i="70"/>
  <c r="K52" i="70"/>
  <c r="U52" i="70" s="1"/>
  <c r="M51" i="70"/>
  <c r="K51" i="70"/>
  <c r="Q51" i="70" s="1"/>
  <c r="M50" i="70"/>
  <c r="K50" i="70"/>
  <c r="S50" i="70" s="1"/>
  <c r="M49" i="70"/>
  <c r="K49" i="70"/>
  <c r="U49" i="70" s="1"/>
  <c r="M48" i="70"/>
  <c r="U48" i="70"/>
  <c r="M47" i="70"/>
  <c r="K47" i="70"/>
  <c r="Q47" i="70" s="1"/>
  <c r="M46" i="70"/>
  <c r="K46" i="70"/>
  <c r="S46" i="70" s="1"/>
  <c r="M45" i="70"/>
  <c r="K45" i="70"/>
  <c r="U45" i="70" s="1"/>
  <c r="M44" i="70"/>
  <c r="K44" i="70"/>
  <c r="U44" i="70" s="1"/>
  <c r="U43" i="70"/>
  <c r="S43" i="70"/>
  <c r="Q43" i="70"/>
  <c r="M43" i="70"/>
  <c r="U42" i="70"/>
  <c r="S42" i="70"/>
  <c r="Q42" i="70"/>
  <c r="M42" i="70"/>
  <c r="U41" i="70"/>
  <c r="S41" i="70"/>
  <c r="Q41" i="70"/>
  <c r="M41" i="70"/>
  <c r="U40" i="70"/>
  <c r="S40" i="70"/>
  <c r="Q40" i="70"/>
  <c r="M40" i="70"/>
  <c r="U39" i="70"/>
  <c r="S39" i="70"/>
  <c r="Q39" i="70"/>
  <c r="U38" i="70"/>
  <c r="S38" i="70"/>
  <c r="Q38" i="70"/>
  <c r="L38" i="70"/>
  <c r="M38" i="70" s="1"/>
  <c r="U37" i="70"/>
  <c r="S37" i="70"/>
  <c r="Q37" i="70"/>
  <c r="L37" i="70"/>
  <c r="M37" i="70" s="1"/>
  <c r="U36" i="70"/>
  <c r="S36" i="70"/>
  <c r="Q36" i="70"/>
  <c r="L36" i="70"/>
  <c r="M36" i="70" s="1"/>
  <c r="M35" i="70"/>
  <c r="K35" i="70"/>
  <c r="U35" i="70" s="1"/>
  <c r="U34" i="70"/>
  <c r="S34" i="70"/>
  <c r="Q34" i="70"/>
  <c r="M34" i="70"/>
  <c r="M33" i="70"/>
  <c r="K33" i="70"/>
  <c r="U33" i="70" s="1"/>
  <c r="M32" i="70"/>
  <c r="K32" i="70"/>
  <c r="S32" i="70" s="1"/>
  <c r="M31" i="70"/>
  <c r="K31" i="70"/>
  <c r="U31" i="70" s="1"/>
  <c r="M30" i="70"/>
  <c r="K30" i="70"/>
  <c r="U30" i="70" s="1"/>
  <c r="M29" i="70"/>
  <c r="K29" i="70"/>
  <c r="U29" i="70" s="1"/>
  <c r="M28" i="70"/>
  <c r="K28" i="70"/>
  <c r="S28" i="70" s="1"/>
  <c r="M27" i="70"/>
  <c r="K27" i="70"/>
  <c r="U27" i="70" s="1"/>
  <c r="M26" i="70"/>
  <c r="K26" i="70"/>
  <c r="U26" i="70" s="1"/>
  <c r="U25" i="70"/>
  <c r="S25" i="70"/>
  <c r="Q25" i="70"/>
  <c r="L25" i="70"/>
  <c r="M25" i="70" s="1"/>
  <c r="U24" i="70"/>
  <c r="S24" i="70"/>
  <c r="Q24" i="70"/>
  <c r="L24" i="70"/>
  <c r="M24" i="70" s="1"/>
  <c r="M23" i="70"/>
  <c r="U23" i="70"/>
  <c r="M22" i="70"/>
  <c r="K22" i="70"/>
  <c r="U22" i="70" s="1"/>
  <c r="M21" i="70"/>
  <c r="K21" i="70"/>
  <c r="Q21" i="70" s="1"/>
  <c r="U20" i="70"/>
  <c r="S20" i="70"/>
  <c r="Q20" i="70"/>
  <c r="L20" i="70"/>
  <c r="M20" i="70" s="1"/>
  <c r="U19" i="70"/>
  <c r="S19" i="70"/>
  <c r="Q19" i="70"/>
  <c r="L19" i="70"/>
  <c r="M19" i="70" s="1"/>
  <c r="U18" i="70"/>
  <c r="S18" i="70"/>
  <c r="Q18" i="70"/>
  <c r="M18" i="70"/>
  <c r="M17" i="70"/>
  <c r="K17" i="70"/>
  <c r="U17" i="70" s="1"/>
  <c r="M16" i="70"/>
  <c r="K16" i="70"/>
  <c r="S16" i="70" s="1"/>
  <c r="M15" i="70"/>
  <c r="K15" i="70"/>
  <c r="U15" i="70" s="1"/>
  <c r="M14" i="70"/>
  <c r="K14" i="70"/>
  <c r="U14" i="70" s="1"/>
  <c r="M13" i="70"/>
  <c r="K13" i="70"/>
  <c r="U13" i="70" s="1"/>
  <c r="K12" i="70"/>
  <c r="S12" i="70" s="1"/>
  <c r="M11" i="70"/>
  <c r="K11" i="70"/>
  <c r="U11" i="70" s="1"/>
  <c r="M10" i="70"/>
  <c r="K10" i="70"/>
  <c r="U10" i="70" s="1"/>
  <c r="M9" i="70"/>
  <c r="K9" i="70"/>
  <c r="U9" i="70" s="1"/>
  <c r="M8" i="70"/>
  <c r="K8" i="70"/>
  <c r="S8" i="70" s="1"/>
  <c r="M7" i="70"/>
  <c r="K7" i="70"/>
  <c r="U7" i="70" s="1"/>
  <c r="M6" i="70"/>
  <c r="U6" i="70"/>
  <c r="M5" i="70"/>
  <c r="K5" i="70"/>
  <c r="U5" i="70" s="1"/>
  <c r="M4" i="70"/>
  <c r="K4" i="70"/>
  <c r="S4" i="70" s="1"/>
  <c r="M3" i="70"/>
  <c r="K3" i="70"/>
  <c r="U3" i="70" s="1"/>
  <c r="M2" i="70"/>
  <c r="K2" i="70"/>
  <c r="Q6" i="70" l="1"/>
  <c r="Q9" i="70"/>
  <c r="Q10" i="70"/>
  <c r="S9" i="70"/>
  <c r="Q26" i="70"/>
  <c r="U55" i="70"/>
  <c r="K58" i="70"/>
  <c r="Q5" i="70"/>
  <c r="S21" i="70"/>
  <c r="Q2" i="70"/>
  <c r="S5" i="70"/>
  <c r="Q17" i="70"/>
  <c r="Q33" i="70"/>
  <c r="Q35" i="70"/>
  <c r="Q44" i="70"/>
  <c r="Q45" i="70"/>
  <c r="Q48" i="70"/>
  <c r="Q49" i="70"/>
  <c r="Q52" i="70"/>
  <c r="Q53" i="70"/>
  <c r="Q13" i="70"/>
  <c r="Q14" i="70"/>
  <c r="S17" i="70"/>
  <c r="Q22" i="70"/>
  <c r="Q29" i="70"/>
  <c r="Q30" i="70"/>
  <c r="S33" i="70"/>
  <c r="S44" i="70"/>
  <c r="S47" i="70"/>
  <c r="S48" i="70"/>
  <c r="S51" i="70"/>
  <c r="S52" i="70"/>
  <c r="S13" i="70"/>
  <c r="L58" i="70"/>
  <c r="S29" i="70"/>
  <c r="S56" i="70"/>
  <c r="U4" i="70"/>
  <c r="S2" i="70"/>
  <c r="Q3" i="70"/>
  <c r="S6" i="70"/>
  <c r="Q7" i="70"/>
  <c r="S10" i="70"/>
  <c r="Q11" i="70"/>
  <c r="S14" i="70"/>
  <c r="Q15" i="70"/>
  <c r="U21" i="70"/>
  <c r="S22" i="70"/>
  <c r="Q23" i="70"/>
  <c r="S26" i="70"/>
  <c r="Q27" i="70"/>
  <c r="S30" i="70"/>
  <c r="Q31" i="70"/>
  <c r="S35" i="70"/>
  <c r="U47" i="70"/>
  <c r="U51" i="70"/>
  <c r="U56" i="70"/>
  <c r="U16" i="70"/>
  <c r="U50" i="70"/>
  <c r="U2" i="70"/>
  <c r="S3" i="70"/>
  <c r="Q4" i="70"/>
  <c r="S7" i="70"/>
  <c r="Q8" i="70"/>
  <c r="S11" i="70"/>
  <c r="Q12" i="70"/>
  <c r="S15" i="70"/>
  <c r="Q16" i="70"/>
  <c r="S23" i="70"/>
  <c r="S27" i="70"/>
  <c r="Q28" i="70"/>
  <c r="S31" i="70"/>
  <c r="Q32" i="70"/>
  <c r="S45" i="70"/>
  <c r="Q46" i="70"/>
  <c r="S49" i="70"/>
  <c r="Q50" i="70"/>
  <c r="S53" i="70"/>
  <c r="Q55" i="70"/>
  <c r="U8" i="70"/>
  <c r="U12" i="70"/>
  <c r="U28" i="70"/>
  <c r="U32" i="70"/>
  <c r="U46" i="70"/>
  <c r="K3" i="1" l="1"/>
  <c r="K4" i="1"/>
  <c r="K5" i="1"/>
  <c r="K6" i="1"/>
  <c r="K7" i="1"/>
  <c r="K8" i="1"/>
  <c r="K9" i="1"/>
  <c r="K11" i="1"/>
  <c r="K13" i="1"/>
  <c r="K15" i="1"/>
  <c r="K16" i="1"/>
  <c r="K17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8" i="1"/>
  <c r="K59" i="1"/>
  <c r="K60" i="1"/>
  <c r="K61" i="1"/>
  <c r="K62" i="1"/>
  <c r="K63" i="1"/>
  <c r="K71" i="1" l="1"/>
  <c r="J13" i="10"/>
  <c r="R13" i="10" s="1"/>
  <c r="J12" i="10"/>
  <c r="J11" i="10"/>
  <c r="J10" i="10"/>
  <c r="M10" i="10" s="1"/>
  <c r="N10" i="10" s="1"/>
  <c r="J6" i="10"/>
  <c r="P6" i="10" s="1"/>
  <c r="I11" i="5"/>
  <c r="I5" i="5"/>
  <c r="I10" i="5"/>
  <c r="I9" i="5"/>
  <c r="O11" i="10" l="1"/>
  <c r="P11" i="10" s="1"/>
  <c r="R11" i="10"/>
  <c r="O12" i="10"/>
  <c r="P12" i="10" s="1"/>
  <c r="R12" i="10"/>
  <c r="N5" i="5"/>
  <c r="L5" i="5"/>
  <c r="M5" i="5"/>
  <c r="N11" i="5"/>
  <c r="M11" i="5"/>
  <c r="L11" i="5"/>
  <c r="N9" i="5"/>
  <c r="L9" i="5"/>
  <c r="M9" i="5"/>
  <c r="N10" i="5"/>
  <c r="L10" i="5"/>
  <c r="M10" i="5"/>
  <c r="O13" i="10"/>
  <c r="P13" i="10" s="1"/>
  <c r="M13" i="10"/>
  <c r="M11" i="10"/>
  <c r="N11" i="10" s="1"/>
  <c r="M12" i="10"/>
  <c r="R10" i="10"/>
  <c r="O10" i="10"/>
  <c r="P10" i="10" s="1"/>
  <c r="N6" i="10"/>
  <c r="R6" i="10"/>
  <c r="I16" i="10"/>
  <c r="J15" i="10" l="1"/>
  <c r="M15" i="10" s="1"/>
  <c r="J14" i="10"/>
  <c r="I3" i="84"/>
  <c r="L3" i="84" s="1"/>
  <c r="I2" i="84"/>
  <c r="M2" i="84" s="1"/>
  <c r="M9" i="25"/>
  <c r="M14" i="10" l="1"/>
  <c r="N14" i="10" s="1"/>
  <c r="P14" i="10"/>
  <c r="N2" i="84"/>
  <c r="L2" i="84"/>
  <c r="N3" i="84"/>
  <c r="M3" i="84"/>
  <c r="Q15" i="10"/>
  <c r="Q14" i="10"/>
  <c r="Q16" i="10" l="1"/>
  <c r="J2" i="10"/>
  <c r="J3" i="10"/>
  <c r="M3" i="10" s="1"/>
  <c r="N3" i="10" s="1"/>
  <c r="O71" i="1"/>
  <c r="P71" i="1"/>
  <c r="Q71" i="1"/>
  <c r="J71" i="1"/>
  <c r="M2" i="10" l="1"/>
  <c r="N2" i="10" s="1"/>
  <c r="R3" i="10"/>
  <c r="O3" i="10"/>
  <c r="P3" i="10" s="1"/>
  <c r="R2" i="10"/>
  <c r="O2" i="10"/>
  <c r="P2" i="10" s="1"/>
  <c r="K2" i="1" l="1"/>
  <c r="N71" i="1" l="1"/>
  <c r="I2" i="43"/>
  <c r="I3" i="43"/>
  <c r="I4" i="43"/>
  <c r="I5" i="43"/>
  <c r="I6" i="43"/>
  <c r="I2" i="42" l="1"/>
  <c r="I3" i="42"/>
  <c r="I4" i="42"/>
  <c r="I5" i="42"/>
  <c r="I6" i="42"/>
  <c r="L6" i="42" l="1"/>
  <c r="M6" i="42"/>
  <c r="L8" i="8" l="1"/>
  <c r="H7" i="8"/>
  <c r="H6" i="8"/>
  <c r="H5" i="8"/>
  <c r="H4" i="8"/>
  <c r="H3" i="8"/>
  <c r="G106" i="7"/>
  <c r="F106" i="7"/>
  <c r="E106" i="7"/>
  <c r="H117" i="6"/>
  <c r="G117" i="6"/>
  <c r="F117" i="6"/>
  <c r="F22" i="76"/>
  <c r="D22" i="76"/>
  <c r="E54" i="77"/>
  <c r="E21" i="77"/>
  <c r="M6" i="43"/>
  <c r="L6" i="43"/>
  <c r="M5" i="43"/>
  <c r="L5" i="43"/>
  <c r="N4" i="43"/>
  <c r="M4" i="43"/>
  <c r="L4" i="43"/>
  <c r="N3" i="43"/>
  <c r="M3" i="43"/>
  <c r="L3" i="43"/>
  <c r="N2" i="43"/>
  <c r="M2" i="43"/>
  <c r="L2" i="43"/>
  <c r="M5" i="42"/>
  <c r="L5" i="42"/>
  <c r="L4" i="42"/>
  <c r="N3" i="42"/>
  <c r="M3" i="42"/>
  <c r="L3" i="42"/>
  <c r="N2" i="42"/>
  <c r="M2" i="42"/>
  <c r="L2" i="42"/>
  <c r="I7" i="9"/>
  <c r="L7" i="9" s="1"/>
  <c r="I6" i="9"/>
  <c r="L6" i="9" s="1"/>
  <c r="I5" i="9"/>
  <c r="I4" i="9"/>
  <c r="I3" i="9"/>
  <c r="I2" i="9"/>
  <c r="I27" i="35"/>
  <c r="J26" i="35"/>
  <c r="M26" i="35" s="1"/>
  <c r="J25" i="35"/>
  <c r="N25" i="35" s="1"/>
  <c r="J24" i="35"/>
  <c r="N24" i="35" s="1"/>
  <c r="J23" i="35"/>
  <c r="M23" i="35" s="1"/>
  <c r="J22" i="35"/>
  <c r="N22" i="35" s="1"/>
  <c r="J21" i="35"/>
  <c r="M21" i="35" s="1"/>
  <c r="J20" i="35"/>
  <c r="N20" i="35" s="1"/>
  <c r="J19" i="35"/>
  <c r="N19" i="35" s="1"/>
  <c r="J18" i="35"/>
  <c r="N18" i="35" s="1"/>
  <c r="J17" i="35"/>
  <c r="M17" i="35" s="1"/>
  <c r="J16" i="35"/>
  <c r="M16" i="35" s="1"/>
  <c r="J15" i="35"/>
  <c r="N15" i="35" s="1"/>
  <c r="J14" i="35"/>
  <c r="M14" i="35" s="1"/>
  <c r="J13" i="35"/>
  <c r="N13" i="35" s="1"/>
  <c r="J12" i="35"/>
  <c r="N12" i="35" s="1"/>
  <c r="J11" i="35"/>
  <c r="N11" i="35" s="1"/>
  <c r="J10" i="35"/>
  <c r="M10" i="35" s="1"/>
  <c r="J9" i="35"/>
  <c r="N9" i="35" s="1"/>
  <c r="J8" i="35"/>
  <c r="M8" i="35" s="1"/>
  <c r="J7" i="35"/>
  <c r="M7" i="35" s="1"/>
  <c r="J6" i="35"/>
  <c r="N6" i="35" s="1"/>
  <c r="J5" i="35"/>
  <c r="N5" i="35" s="1"/>
  <c r="J4" i="35"/>
  <c r="M25" i="25"/>
  <c r="P25" i="25" s="1"/>
  <c r="M24" i="25"/>
  <c r="P24" i="25" s="1"/>
  <c r="M23" i="25"/>
  <c r="P23" i="25" s="1"/>
  <c r="M22" i="25"/>
  <c r="P22" i="25" s="1"/>
  <c r="M21" i="25"/>
  <c r="P21" i="25" s="1"/>
  <c r="M20" i="25"/>
  <c r="P20" i="25" s="1"/>
  <c r="M19" i="25"/>
  <c r="P19" i="25" s="1"/>
  <c r="M18" i="25"/>
  <c r="P18" i="25" s="1"/>
  <c r="M17" i="25"/>
  <c r="P17" i="25" s="1"/>
  <c r="M16" i="25"/>
  <c r="P16" i="25" s="1"/>
  <c r="M15" i="25"/>
  <c r="P15" i="25" s="1"/>
  <c r="M14" i="25"/>
  <c r="P14" i="25" s="1"/>
  <c r="M13" i="25"/>
  <c r="P13" i="25" s="1"/>
  <c r="M12" i="25"/>
  <c r="P12" i="25" s="1"/>
  <c r="M11" i="25"/>
  <c r="P11" i="25" s="1"/>
  <c r="M10" i="25"/>
  <c r="P10" i="25" s="1"/>
  <c r="Q9" i="25"/>
  <c r="Q26" i="25" s="1"/>
  <c r="M8" i="25"/>
  <c r="P8" i="25" s="1"/>
  <c r="M7" i="25"/>
  <c r="M5" i="25"/>
  <c r="P5" i="25" s="1"/>
  <c r="P4" i="25"/>
  <c r="M3" i="25"/>
  <c r="P3" i="25" s="1"/>
  <c r="I19" i="14"/>
  <c r="M19" i="14" s="1"/>
  <c r="I18" i="14"/>
  <c r="N18" i="14" s="1"/>
  <c r="I17" i="14"/>
  <c r="O17" i="14" s="1"/>
  <c r="I16" i="14"/>
  <c r="L16" i="14" s="1"/>
  <c r="I15" i="14"/>
  <c r="O15" i="14" s="1"/>
  <c r="I14" i="14"/>
  <c r="N14" i="14" s="1"/>
  <c r="I13" i="14"/>
  <c r="N13" i="14" s="1"/>
  <c r="I12" i="14"/>
  <c r="O12" i="14" s="1"/>
  <c r="I11" i="14"/>
  <c r="M11" i="14" s="1"/>
  <c r="I10" i="14"/>
  <c r="O10" i="14" s="1"/>
  <c r="I9" i="14"/>
  <c r="O9" i="14" s="1"/>
  <c r="I8" i="14"/>
  <c r="L8" i="14" s="1"/>
  <c r="I7" i="14"/>
  <c r="O7" i="14" s="1"/>
  <c r="I6" i="14"/>
  <c r="N6" i="14" s="1"/>
  <c r="I5" i="14"/>
  <c r="N5" i="14" s="1"/>
  <c r="I4" i="14"/>
  <c r="N4" i="14" s="1"/>
  <c r="I3" i="14"/>
  <c r="M3" i="14" s="1"/>
  <c r="I2" i="14"/>
  <c r="N2" i="14" s="1"/>
  <c r="F53" i="61"/>
  <c r="F52" i="61"/>
  <c r="D52" i="61"/>
  <c r="U51" i="61"/>
  <c r="S51" i="61"/>
  <c r="Q51" i="61"/>
  <c r="U50" i="61"/>
  <c r="S50" i="61"/>
  <c r="Q50" i="61"/>
  <c r="U49" i="61"/>
  <c r="S49" i="61"/>
  <c r="Q49" i="61"/>
  <c r="U48" i="61"/>
  <c r="S48" i="61"/>
  <c r="Q48" i="61"/>
  <c r="U47" i="61"/>
  <c r="S47" i="61"/>
  <c r="Q47" i="61"/>
  <c r="U46" i="61"/>
  <c r="S46" i="61"/>
  <c r="Q46" i="61"/>
  <c r="U45" i="61"/>
  <c r="S45" i="61"/>
  <c r="Q45" i="61"/>
  <c r="U44" i="61"/>
  <c r="S44" i="61"/>
  <c r="Q44" i="61"/>
  <c r="U43" i="61"/>
  <c r="S43" i="61"/>
  <c r="Q43" i="61"/>
  <c r="U42" i="61"/>
  <c r="S42" i="61"/>
  <c r="Q42" i="61"/>
  <c r="U41" i="61"/>
  <c r="S41" i="61"/>
  <c r="Q41" i="61"/>
  <c r="U40" i="61"/>
  <c r="S40" i="61"/>
  <c r="Q40" i="61"/>
  <c r="U39" i="61"/>
  <c r="S39" i="61"/>
  <c r="Q39" i="61"/>
  <c r="U38" i="61"/>
  <c r="S38" i="61"/>
  <c r="Q38" i="61"/>
  <c r="U37" i="61"/>
  <c r="S37" i="61"/>
  <c r="Q37" i="61"/>
  <c r="U36" i="61"/>
  <c r="S36" i="61"/>
  <c r="Q36" i="61"/>
  <c r="M36" i="61"/>
  <c r="U35" i="61"/>
  <c r="S35" i="61"/>
  <c r="Q35" i="61"/>
  <c r="M35" i="61"/>
  <c r="U34" i="61"/>
  <c r="S34" i="61"/>
  <c r="Q34" i="61"/>
  <c r="M34" i="61"/>
  <c r="U33" i="61"/>
  <c r="S33" i="61"/>
  <c r="Q33" i="61"/>
  <c r="M33" i="61"/>
  <c r="U32" i="61"/>
  <c r="S32" i="61"/>
  <c r="Q32" i="61"/>
  <c r="M32" i="61"/>
  <c r="U31" i="61"/>
  <c r="S31" i="61"/>
  <c r="Q31" i="61"/>
  <c r="M31" i="61"/>
  <c r="U30" i="61"/>
  <c r="S30" i="61"/>
  <c r="Q30" i="61"/>
  <c r="M30" i="61"/>
  <c r="U29" i="61"/>
  <c r="S29" i="61"/>
  <c r="Q29" i="61"/>
  <c r="M29" i="61"/>
  <c r="U28" i="61"/>
  <c r="S28" i="61"/>
  <c r="Q28" i="61"/>
  <c r="M28" i="61"/>
  <c r="U27" i="61"/>
  <c r="S27" i="61"/>
  <c r="Q27" i="61"/>
  <c r="M27" i="61"/>
  <c r="U26" i="61"/>
  <c r="S26" i="61"/>
  <c r="Q26" i="61"/>
  <c r="M26" i="61"/>
  <c r="U25" i="61"/>
  <c r="S25" i="61"/>
  <c r="Q25" i="61"/>
  <c r="M25" i="61"/>
  <c r="U24" i="61"/>
  <c r="S24" i="61"/>
  <c r="Q24" i="61"/>
  <c r="M24" i="61"/>
  <c r="U23" i="61"/>
  <c r="S23" i="61"/>
  <c r="Q23" i="61"/>
  <c r="M23" i="61"/>
  <c r="U22" i="61"/>
  <c r="S22" i="61"/>
  <c r="Q22" i="61"/>
  <c r="M22" i="61"/>
  <c r="U21" i="61"/>
  <c r="S21" i="61"/>
  <c r="Q21" i="61"/>
  <c r="M21" i="61"/>
  <c r="U20" i="61"/>
  <c r="S20" i="61"/>
  <c r="Q20" i="61"/>
  <c r="M20" i="61"/>
  <c r="U19" i="61"/>
  <c r="S19" i="61"/>
  <c r="Q19" i="61"/>
  <c r="M19" i="61"/>
  <c r="U18" i="61"/>
  <c r="S18" i="61"/>
  <c r="Q18" i="61"/>
  <c r="M18" i="61"/>
  <c r="F16" i="61"/>
  <c r="D16" i="61"/>
  <c r="U15" i="61"/>
  <c r="S15" i="61"/>
  <c r="Q15" i="61"/>
  <c r="M15" i="61"/>
  <c r="U14" i="61"/>
  <c r="S14" i="61"/>
  <c r="Q14" i="61"/>
  <c r="M14" i="61"/>
  <c r="U13" i="61"/>
  <c r="S13" i="61"/>
  <c r="Q13" i="61"/>
  <c r="M13" i="61"/>
  <c r="U12" i="61"/>
  <c r="S12" i="61"/>
  <c r="Q12" i="61"/>
  <c r="M12" i="61"/>
  <c r="U11" i="61"/>
  <c r="S11" i="61"/>
  <c r="Q11" i="61"/>
  <c r="M11" i="61"/>
  <c r="U10" i="61"/>
  <c r="S10" i="61"/>
  <c r="Q10" i="61"/>
  <c r="M10" i="61"/>
  <c r="U9" i="61"/>
  <c r="S9" i="61"/>
  <c r="Q9" i="61"/>
  <c r="M9" i="61"/>
  <c r="U8" i="61"/>
  <c r="S8" i="61"/>
  <c r="Q8" i="61"/>
  <c r="M8" i="61"/>
  <c r="U7" i="61"/>
  <c r="S7" i="61"/>
  <c r="Q7" i="61"/>
  <c r="M7" i="61"/>
  <c r="U6" i="61"/>
  <c r="S6" i="61"/>
  <c r="Q6" i="61"/>
  <c r="M6" i="61"/>
  <c r="U5" i="61"/>
  <c r="S5" i="61"/>
  <c r="Q5" i="61"/>
  <c r="M5" i="61"/>
  <c r="J10" i="23"/>
  <c r="R9" i="23"/>
  <c r="S9" i="23" s="1"/>
  <c r="O9" i="23"/>
  <c r="P9" i="23" s="1"/>
  <c r="L9" i="23"/>
  <c r="M9" i="23" s="1"/>
  <c r="S8" i="23"/>
  <c r="P8" i="23"/>
  <c r="M8" i="23"/>
  <c r="R7" i="23"/>
  <c r="S7" i="23" s="1"/>
  <c r="O7" i="23"/>
  <c r="P7" i="23" s="1"/>
  <c r="L7" i="23"/>
  <c r="M7" i="23" s="1"/>
  <c r="R6" i="23"/>
  <c r="S6" i="23" s="1"/>
  <c r="O6" i="23"/>
  <c r="P6" i="23" s="1"/>
  <c r="L6" i="23"/>
  <c r="M6" i="23" s="1"/>
  <c r="R5" i="23"/>
  <c r="S5" i="23" s="1"/>
  <c r="O5" i="23"/>
  <c r="P5" i="23" s="1"/>
  <c r="L5" i="23"/>
  <c r="M5" i="23" s="1"/>
  <c r="R4" i="23"/>
  <c r="S4" i="23" s="1"/>
  <c r="O4" i="23"/>
  <c r="P4" i="23" s="1"/>
  <c r="L4" i="23"/>
  <c r="M4" i="23" s="1"/>
  <c r="R3" i="23"/>
  <c r="S3" i="23" s="1"/>
  <c r="O3" i="23"/>
  <c r="P3" i="23" s="1"/>
  <c r="L3" i="23"/>
  <c r="M3" i="23" s="1"/>
  <c r="I8" i="5"/>
  <c r="I7" i="5"/>
  <c r="M7" i="5" s="1"/>
  <c r="I6" i="5"/>
  <c r="I3" i="5"/>
  <c r="M3" i="5" s="1"/>
  <c r="I4" i="5"/>
  <c r="M4" i="5" s="1"/>
  <c r="I2" i="5"/>
  <c r="G9" i="15"/>
  <c r="G8" i="15"/>
  <c r="G7" i="15"/>
  <c r="G6" i="15"/>
  <c r="G5" i="15"/>
  <c r="G4" i="15"/>
  <c r="G3" i="15"/>
  <c r="J9" i="10"/>
  <c r="R9" i="10" s="1"/>
  <c r="J8" i="10"/>
  <c r="R8" i="10" s="1"/>
  <c r="J7" i="10"/>
  <c r="J5" i="10"/>
  <c r="J4" i="10"/>
  <c r="I28" i="72"/>
  <c r="I27" i="72"/>
  <c r="I26" i="72"/>
  <c r="I25" i="72"/>
  <c r="I24" i="72"/>
  <c r="I23" i="72"/>
  <c r="I22" i="72"/>
  <c r="I21" i="72"/>
  <c r="I20" i="72"/>
  <c r="I19" i="72"/>
  <c r="I18" i="72"/>
  <c r="I17" i="72"/>
  <c r="H10" i="72"/>
  <c r="J10" i="72" s="1"/>
  <c r="K10" i="72" s="1"/>
  <c r="H9" i="72"/>
  <c r="J9" i="72" s="1"/>
  <c r="K9" i="72" s="1"/>
  <c r="H8" i="72"/>
  <c r="J8" i="72" s="1"/>
  <c r="K8" i="72" s="1"/>
  <c r="H7" i="72"/>
  <c r="J7" i="72" s="1"/>
  <c r="K7" i="72" s="1"/>
  <c r="H6" i="72"/>
  <c r="J6" i="72" s="1"/>
  <c r="K6" i="72" s="1"/>
  <c r="H5" i="72"/>
  <c r="J5" i="72" s="1"/>
  <c r="K5" i="72" s="1"/>
  <c r="H4" i="72"/>
  <c r="J4" i="72" s="1"/>
  <c r="K4" i="72" s="1"/>
  <c r="H3" i="72"/>
  <c r="J3" i="72" s="1"/>
  <c r="K3" i="72" s="1"/>
  <c r="H2" i="72"/>
  <c r="J2" i="72" s="1"/>
  <c r="K2" i="72" s="1"/>
  <c r="P5" i="10" l="1"/>
  <c r="R5" i="10"/>
  <c r="L6" i="5"/>
  <c r="N6" i="5"/>
  <c r="M6" i="5"/>
  <c r="N2" i="5"/>
  <c r="L2" i="5"/>
  <c r="M2" i="5"/>
  <c r="M8" i="5"/>
  <c r="L8" i="5"/>
  <c r="N8" i="5"/>
  <c r="L11" i="14"/>
  <c r="H8" i="8"/>
  <c r="N11" i="14"/>
  <c r="M12" i="14"/>
  <c r="N12" i="14"/>
  <c r="L13" i="14"/>
  <c r="N3" i="14"/>
  <c r="M13" i="14"/>
  <c r="O11" i="14"/>
  <c r="O19" i="14"/>
  <c r="M7" i="14"/>
  <c r="O14" i="14"/>
  <c r="L3" i="14"/>
  <c r="L12" i="14"/>
  <c r="M6" i="14"/>
  <c r="M15" i="14"/>
  <c r="O4" i="14"/>
  <c r="N19" i="14"/>
  <c r="O3" i="14"/>
  <c r="M5" i="14"/>
  <c r="M8" i="14"/>
  <c r="O13" i="14"/>
  <c r="N16" i="14"/>
  <c r="O5" i="14"/>
  <c r="N8" i="14"/>
  <c r="L4" i="14"/>
  <c r="M14" i="14"/>
  <c r="I29" i="72"/>
  <c r="M4" i="14"/>
  <c r="L5" i="14"/>
  <c r="M16" i="14"/>
  <c r="O6" i="14"/>
  <c r="L19" i="14"/>
  <c r="N17" i="35"/>
  <c r="K11" i="72"/>
  <c r="L2" i="14"/>
  <c r="L10" i="14"/>
  <c r="L18" i="14"/>
  <c r="M13" i="35"/>
  <c r="M2" i="14"/>
  <c r="L7" i="14"/>
  <c r="O8" i="14"/>
  <c r="M10" i="14"/>
  <c r="L15" i="14"/>
  <c r="O16" i="14"/>
  <c r="M18" i="14"/>
  <c r="I20" i="14"/>
  <c r="N8" i="35"/>
  <c r="N10" i="14"/>
  <c r="O2" i="14"/>
  <c r="N7" i="14"/>
  <c r="L9" i="14"/>
  <c r="N15" i="14"/>
  <c r="L17" i="14"/>
  <c r="O18" i="14"/>
  <c r="L6" i="14"/>
  <c r="M9" i="14"/>
  <c r="L14" i="14"/>
  <c r="M17" i="14"/>
  <c r="S52" i="61"/>
  <c r="N9" i="14"/>
  <c r="N17" i="14"/>
  <c r="U52" i="61"/>
  <c r="M12" i="35"/>
  <c r="J16" i="10"/>
  <c r="O4" i="10"/>
  <c r="P4" i="10" s="1"/>
  <c r="M22" i="35"/>
  <c r="M19" i="35"/>
  <c r="I8" i="9"/>
  <c r="L5" i="9"/>
  <c r="L4" i="9"/>
  <c r="L2" i="9"/>
  <c r="L3" i="9"/>
  <c r="M4" i="42"/>
  <c r="M11" i="35"/>
  <c r="M15" i="35"/>
  <c r="M5" i="35"/>
  <c r="O5" i="35"/>
  <c r="M25" i="35"/>
  <c r="N10" i="35"/>
  <c r="M18" i="35"/>
  <c r="J27" i="35"/>
  <c r="M20" i="35"/>
  <c r="M4" i="35"/>
  <c r="M6" i="35"/>
  <c r="M9" i="35"/>
  <c r="N26" i="35"/>
  <c r="N4" i="35"/>
  <c r="M24" i="35"/>
  <c r="O4" i="35"/>
  <c r="P7" i="25"/>
  <c r="P9" i="25"/>
  <c r="Q52" i="61"/>
  <c r="R4" i="10"/>
  <c r="R7" i="10"/>
  <c r="M9" i="10"/>
  <c r="N9" i="10" s="1"/>
  <c r="M8" i="10"/>
  <c r="N8" i="10" s="1"/>
  <c r="M7" i="10"/>
  <c r="N7" i="10" s="1"/>
  <c r="O9" i="10"/>
  <c r="P9" i="10" s="1"/>
  <c r="N5" i="10"/>
  <c r="O8" i="10"/>
  <c r="P8" i="10" s="1"/>
  <c r="M4" i="10"/>
  <c r="N4" i="10" s="1"/>
  <c r="O7" i="10"/>
  <c r="P7" i="10" s="1"/>
  <c r="L20" i="14" l="1"/>
  <c r="O20" i="14"/>
  <c r="N20" i="14"/>
  <c r="O16" i="10"/>
  <c r="P26" i="25"/>
  <c r="L8" i="9"/>
  <c r="N8" i="9"/>
  <c r="M8" i="9"/>
  <c r="M16" i="10"/>
</calcChain>
</file>

<file path=xl/sharedStrings.xml><?xml version="1.0" encoding="utf-8"?>
<sst xmlns="http://schemas.openxmlformats.org/spreadsheetml/2006/main" count="2755" uniqueCount="901">
  <si>
    <t>Sr. No.</t>
  </si>
  <si>
    <t>Hoarding Code</t>
  </si>
  <si>
    <t xml:space="preserve"> LIT/ N.LIT</t>
  </si>
  <si>
    <t>Media</t>
  </si>
  <si>
    <t>W</t>
  </si>
  <si>
    <t>H</t>
  </si>
  <si>
    <t>Qty.</t>
  </si>
  <si>
    <t>Total Sq. ft.</t>
  </si>
  <si>
    <t>Lattitude</t>
  </si>
  <si>
    <t>Longitude</t>
  </si>
  <si>
    <t>Net Rate</t>
  </si>
  <si>
    <t>DCPM</t>
  </si>
  <si>
    <t>Agency Rates</t>
  </si>
  <si>
    <t>From</t>
  </si>
  <si>
    <t>To</t>
  </si>
  <si>
    <t>Vacancy/ Display</t>
  </si>
  <si>
    <t>Client</t>
  </si>
  <si>
    <t xml:space="preserve">R. Month </t>
  </si>
  <si>
    <t>Name</t>
  </si>
  <si>
    <t>Booked/ Block</t>
  </si>
  <si>
    <t>Campaign</t>
  </si>
  <si>
    <t>Date from</t>
  </si>
  <si>
    <t>Contact Person Name</t>
  </si>
  <si>
    <t>Contact Number</t>
  </si>
  <si>
    <t>Remark</t>
  </si>
  <si>
    <t>Nagpur</t>
  </si>
  <si>
    <t>F/L</t>
  </si>
  <si>
    <t>Hoarding</t>
  </si>
  <si>
    <t>West</t>
  </si>
  <si>
    <t>VACANT</t>
  </si>
  <si>
    <t>N/L</t>
  </si>
  <si>
    <t>21.142247</t>
  </si>
  <si>
    <t>21.147779</t>
  </si>
  <si>
    <t>21.121650</t>
  </si>
  <si>
    <t>Center</t>
  </si>
  <si>
    <t>21.138942</t>
  </si>
  <si>
    <t>South</t>
  </si>
  <si>
    <t>North</t>
  </si>
  <si>
    <t>Sadar Fc Anjuman College</t>
  </si>
  <si>
    <t>21.162915</t>
  </si>
  <si>
    <t>B/L</t>
  </si>
  <si>
    <t>East</t>
  </si>
  <si>
    <t>Booked</t>
  </si>
  <si>
    <t>21.139250</t>
  </si>
  <si>
    <t>21.137016</t>
  </si>
  <si>
    <t>21.150998</t>
  </si>
  <si>
    <t>21.136609</t>
  </si>
  <si>
    <t>Total</t>
  </si>
  <si>
    <t>Sr. No</t>
  </si>
  <si>
    <t>Particulers</t>
  </si>
  <si>
    <t>Type</t>
  </si>
  <si>
    <t>Qty</t>
  </si>
  <si>
    <t>Size</t>
  </si>
  <si>
    <t xml:space="preserve">Total Sq. Ft. </t>
  </si>
  <si>
    <t xml:space="preserve"> Rate</t>
  </si>
  <si>
    <t>Period</t>
  </si>
  <si>
    <t>Vacant/ Display</t>
  </si>
  <si>
    <t>Cient Name</t>
  </si>
  <si>
    <t>Removing Month</t>
  </si>
  <si>
    <t>Till</t>
  </si>
  <si>
    <t>Wall branding  in Main Atrium  of Eternity Mall</t>
  </si>
  <si>
    <t>Front Lit Board</t>
  </si>
  <si>
    <t xml:space="preserve">Vacant </t>
  </si>
  <si>
    <t>Branding At Entry Gate of Eternity Mall</t>
  </si>
  <si>
    <t>Entry Gate</t>
  </si>
  <si>
    <t>Plantation At Entry of Eternity Mall</t>
  </si>
  <si>
    <t>4*</t>
  </si>
  <si>
    <t>Front Stair Case Branding</t>
  </si>
  <si>
    <r>
      <rPr>
        <sz val="12"/>
        <rFont val="Cambria"/>
        <family val="1"/>
        <scheme val="major"/>
      </rPr>
      <t xml:space="preserve">Backlit Pole Kiosk (Four Sided) of Eternity Mall 
</t>
    </r>
    <r>
      <rPr>
        <sz val="12"/>
        <color rgb="FFFF0000"/>
        <rFont val="Cambria"/>
        <family val="1"/>
        <scheme val="major"/>
      </rPr>
      <t>(38 "x38" 14 nag &amp; 40"x38" 14 nag)</t>
    </r>
  </si>
  <si>
    <t>Kiosks</t>
  </si>
  <si>
    <r>
      <rPr>
        <sz val="12"/>
        <rFont val="Cambria"/>
        <family val="1"/>
        <scheme val="major"/>
      </rPr>
      <t xml:space="preserve">Branding at car Parking  </t>
    </r>
    <r>
      <rPr>
        <b/>
        <sz val="12"/>
        <rFont val="Cambria"/>
        <family val="1"/>
        <scheme val="major"/>
      </rPr>
      <t>( From Entry ) of Eternity Mall</t>
    </r>
  </si>
  <si>
    <t xml:space="preserve"> Sign Board</t>
  </si>
  <si>
    <r>
      <rPr>
        <sz val="12"/>
        <rFont val="Cambria"/>
        <family val="1"/>
        <scheme val="major"/>
      </rPr>
      <t xml:space="preserve">Branding at car Parking </t>
    </r>
    <r>
      <rPr>
        <b/>
        <sz val="12"/>
        <rFont val="Cambria"/>
        <family val="1"/>
        <scheme val="major"/>
      </rPr>
      <t xml:space="preserve"> ( From Exit ) of Eternity Mall</t>
    </r>
  </si>
  <si>
    <t>Branding space at Eternity Mall ( At Ticket Counter)</t>
  </si>
  <si>
    <t>Sr No</t>
  </si>
  <si>
    <t>City</t>
  </si>
  <si>
    <t>Hoarding Location</t>
  </si>
  <si>
    <t xml:space="preserve">DCPM </t>
  </si>
  <si>
    <t>Agency Rate</t>
  </si>
  <si>
    <t>Block /  Booked</t>
  </si>
  <si>
    <t>Date From</t>
  </si>
  <si>
    <t>Chandrapur</t>
  </si>
  <si>
    <t xml:space="preserve">Hoarding </t>
  </si>
  <si>
    <t>Gantry</t>
  </si>
  <si>
    <t xml:space="preserve">Net Rate </t>
  </si>
  <si>
    <t>Agencies Rate</t>
  </si>
  <si>
    <t>Book / Block</t>
  </si>
  <si>
    <t xml:space="preserve">Name </t>
  </si>
  <si>
    <t xml:space="preserve">Concern Person </t>
  </si>
  <si>
    <t>Contact No.</t>
  </si>
  <si>
    <t>Amravati</t>
  </si>
  <si>
    <t>Vacant</t>
  </si>
  <si>
    <t>20.951550</t>
  </si>
  <si>
    <t>Extention</t>
  </si>
  <si>
    <t>20.951970</t>
  </si>
  <si>
    <t>Location</t>
  </si>
  <si>
    <t>Akola</t>
  </si>
  <si>
    <t>03.04.2021</t>
  </si>
  <si>
    <t>Sangaliwala</t>
  </si>
  <si>
    <t>Krishna Shahu</t>
  </si>
  <si>
    <t>77.007900</t>
  </si>
  <si>
    <t>3500/- PM</t>
  </si>
  <si>
    <t xml:space="preserve">Near Lady Harding Fc Durga Square </t>
  </si>
  <si>
    <t>20.714640</t>
  </si>
  <si>
    <t>Bhandara</t>
  </si>
  <si>
    <t>21.164920</t>
  </si>
  <si>
    <t>21.157350</t>
  </si>
  <si>
    <t>SR NO.</t>
  </si>
  <si>
    <t>Gondia</t>
  </si>
  <si>
    <t>Gemini</t>
  </si>
  <si>
    <t>booked</t>
  </si>
  <si>
    <t>Terms &amp; Conditions :-</t>
  </si>
  <si>
    <t>Thanking you and looking forward for your favorable reply.</t>
  </si>
  <si>
    <t>Yours truly,</t>
  </si>
  <si>
    <t xml:space="preserve">Truesign Media </t>
  </si>
  <si>
    <t xml:space="preserve">Period </t>
  </si>
  <si>
    <t>Amravati Kiosk Location List</t>
  </si>
  <si>
    <t>Grade</t>
  </si>
  <si>
    <t>Book</t>
  </si>
  <si>
    <t>Display</t>
  </si>
  <si>
    <t>Book/Block</t>
  </si>
  <si>
    <t>w</t>
  </si>
  <si>
    <t>h</t>
  </si>
  <si>
    <t>A</t>
  </si>
  <si>
    <t>Irvin Sq. to  Rajkamal Flyover( Walcut Compound)</t>
  </si>
  <si>
    <t>Rajkamal Flyover - Walcut Compound to Jaistambh sq.</t>
  </si>
  <si>
    <t>Rajkamal Flyover - Jaistambh sq. to Rajkamal Sq</t>
  </si>
  <si>
    <t>Rajkamal Flyover - Rajkamal Sq to Rajapeth Police Station</t>
  </si>
  <si>
    <t>Rajapeth Police station to Rajapeth Square</t>
  </si>
  <si>
    <t xml:space="preserve"> Rajapeth Square TO Navate sq.</t>
  </si>
  <si>
    <t>C</t>
  </si>
  <si>
    <t>Rajkamal Sq. to Hamalpura ROB</t>
  </si>
  <si>
    <t>B</t>
  </si>
  <si>
    <t>Hamalpur to Rukmani Nagar</t>
  </si>
  <si>
    <t>Rukhmani Nagar to Maaltakdi Sq</t>
  </si>
  <si>
    <t>Railway Station to to Bus Stand sq.</t>
  </si>
  <si>
    <t>Bus Stand Sq to Police Quarter(Petrol Pump)</t>
  </si>
  <si>
    <t>Police Quarter (Petrol Pump) to Camp sq.</t>
  </si>
  <si>
    <t>Railway Station to Irvin (Walcut compound Turning)</t>
  </si>
  <si>
    <t>Irvin to Panchwati Sq</t>
  </si>
  <si>
    <t>Gadge Nagar (Panchwati)  to Sheagaon Naka</t>
  </si>
  <si>
    <t>Sheagaon Naka to kathora Naka</t>
  </si>
  <si>
    <t>Rathinagar to Shvaji College Flyover</t>
  </si>
  <si>
    <t>Irvin sq  to Girl School Sq.(Hotel Mehfil)</t>
  </si>
  <si>
    <t>Mehfil to Biyani Sq.</t>
  </si>
  <si>
    <t>Navate sq. to wallmart  (D-Mart) Badnera</t>
  </si>
  <si>
    <t>Shegaon naka TO cotton market sq.</t>
  </si>
  <si>
    <t>Chitra sq. TO Nagpuri gate</t>
  </si>
  <si>
    <t>Panchwati sq. TO Wellcome Point</t>
  </si>
  <si>
    <t>Maltekadi sq.TO Congress nager</t>
  </si>
  <si>
    <t>Jaistambh sq. TO Rajkamal ROB</t>
  </si>
  <si>
    <t xml:space="preserve">Yashodha nager TO Dasturnager </t>
  </si>
  <si>
    <t xml:space="preserve">Itwara Sqr </t>
  </si>
  <si>
    <t xml:space="preserve">Choudhari Sqr </t>
  </si>
  <si>
    <t xml:space="preserve">Girls High School to Panchwati sqr </t>
  </si>
  <si>
    <t>Court Sqr To Sundarlal Sqr</t>
  </si>
  <si>
    <t>Police Quarter  to Mahefil Sqr.</t>
  </si>
  <si>
    <t xml:space="preserve">Baba Restaurent to Rampuri </t>
  </si>
  <si>
    <t>Total Sqr.</t>
  </si>
  <si>
    <t>S.no</t>
  </si>
  <si>
    <t>QTY</t>
  </si>
  <si>
    <t>vacant</t>
  </si>
  <si>
    <t>Client Name</t>
  </si>
  <si>
    <t xml:space="preserve">1.Rajapeth to Navathe </t>
  </si>
  <si>
    <t>Yewale  Sir</t>
  </si>
  <si>
    <t>20.04.2019</t>
  </si>
  <si>
    <t>20.05.2019</t>
  </si>
  <si>
    <t xml:space="preserve">udaan </t>
  </si>
  <si>
    <t xml:space="preserve"> 10.04.2019</t>
  </si>
  <si>
    <t>09.05.2019</t>
  </si>
  <si>
    <t>gurukul</t>
  </si>
  <si>
    <t>15.04.2019</t>
  </si>
  <si>
    <t>14.05.2019</t>
  </si>
  <si>
    <t>Javed Sir</t>
  </si>
  <si>
    <t>23.04.2019</t>
  </si>
  <si>
    <t>22.05.2019</t>
  </si>
  <si>
    <t>Navate Sq. to Wallmart (Sai Nagar &amp; D-Mart)</t>
  </si>
  <si>
    <t>Sonali Dhok</t>
  </si>
  <si>
    <t>Gurukul Classes</t>
  </si>
  <si>
    <t>10.04.2019</t>
  </si>
  <si>
    <t>19.05.2019</t>
  </si>
  <si>
    <t>Walmart to Badnera Railway Station( Sipna Collage)</t>
  </si>
  <si>
    <t xml:space="preserve">Rukmini Nagar to Congress nagar Square </t>
  </si>
  <si>
    <t>Amt Railway to Bus Stand</t>
  </si>
  <si>
    <t>Railway Amravati</t>
  </si>
  <si>
    <t>Irwin to Panchwati</t>
  </si>
  <si>
    <t>Remove</t>
  </si>
  <si>
    <t>Panchwati . to Shegaon Naka</t>
  </si>
  <si>
    <t>Tayade</t>
  </si>
  <si>
    <t>Jai hari shep</t>
  </si>
  <si>
    <t>Navneet</t>
  </si>
  <si>
    <t>12.04.2019</t>
  </si>
  <si>
    <t>11.05.2019</t>
  </si>
  <si>
    <t>Sachin Wankhede</t>
  </si>
  <si>
    <t>Shriram Classes</t>
  </si>
  <si>
    <t>02.04.2019</t>
  </si>
  <si>
    <t>01.05.2019</t>
  </si>
  <si>
    <t>BioNeet</t>
  </si>
  <si>
    <t>Shegaon naka to Kathora Naka</t>
  </si>
  <si>
    <t>Dike Sir</t>
  </si>
  <si>
    <t>Guru Tutorial</t>
  </si>
  <si>
    <t>03.05.2019</t>
  </si>
  <si>
    <t>02.06.2019</t>
  </si>
  <si>
    <t>Manish Nandurkar</t>
  </si>
  <si>
    <t>01.06.2019</t>
  </si>
  <si>
    <t>Ikhe Sir</t>
  </si>
  <si>
    <t>Irwin Sq to Girls High School</t>
  </si>
  <si>
    <t>Jayhari Shep</t>
  </si>
  <si>
    <t>Girls School to Biyani Square (University)</t>
  </si>
  <si>
    <t>26.04.2019</t>
  </si>
  <si>
    <t>25.05.2019</t>
  </si>
  <si>
    <t>Mehfil to Panchwati Sq</t>
  </si>
  <si>
    <t>Panchwati to Gauri INN</t>
  </si>
  <si>
    <t>Rajapeth to Dasturnagar</t>
  </si>
  <si>
    <t>Zambani Sir</t>
  </si>
  <si>
    <t>21.04.2019</t>
  </si>
  <si>
    <t>Biyani College To HVPM</t>
  </si>
  <si>
    <t>Malpani Sir</t>
  </si>
  <si>
    <t>25.04.2019</t>
  </si>
  <si>
    <t>24.05.2019</t>
  </si>
  <si>
    <t xml:space="preserve">Yashodha Nagar to Dastur Nagar </t>
  </si>
  <si>
    <t>Samarth School To Ravinagar Sq.</t>
  </si>
  <si>
    <t>08.04.2019</t>
  </si>
  <si>
    <t>08.05.2019</t>
  </si>
  <si>
    <t>In Frount of Ram Meghe Colg (old bypass Badnera)</t>
  </si>
  <si>
    <t>Kale Sir</t>
  </si>
  <si>
    <t>Sides</t>
  </si>
  <si>
    <t>Total sq ft.</t>
  </si>
  <si>
    <t xml:space="preserve">Vender Rate </t>
  </si>
  <si>
    <t>Vacant / Display</t>
  </si>
  <si>
    <t>Booked / Blocked</t>
  </si>
  <si>
    <t>Executive Name</t>
  </si>
  <si>
    <t>Date</t>
  </si>
  <si>
    <t>At Rajapeth Sqr  (Three Sided)</t>
  </si>
  <si>
    <t>Non lit</t>
  </si>
  <si>
    <t>Traffic Booth</t>
  </si>
  <si>
    <t>At Rajkamal Sqr  (Three Sided)</t>
  </si>
  <si>
    <t xml:space="preserve"> At Irvin Sqr  (Three Sided)</t>
  </si>
  <si>
    <t>At Panchwarti Sqr  (Three Sided)</t>
  </si>
  <si>
    <t>At Shegaon Naka  (Three Sided)</t>
  </si>
  <si>
    <t>LED</t>
  </si>
  <si>
    <t>Covid Rate</t>
  </si>
  <si>
    <t xml:space="preserve">Main Hospital Road fc Ashok Vatika 2nd </t>
  </si>
  <si>
    <t>Rate sq. ft</t>
  </si>
  <si>
    <t>20.12.2021</t>
  </si>
  <si>
    <t>boss</t>
  </si>
  <si>
    <t>21.122756</t>
  </si>
  <si>
    <t>07.09.2021</t>
  </si>
  <si>
    <t xml:space="preserve">Shastri Chowk Fc Nagar Parishad  </t>
  </si>
  <si>
    <t xml:space="preserve">Miski Tank  Fc Rajiv Gandhi Chowk </t>
  </si>
  <si>
    <t>Trimurti Chowk Fc Collector Office</t>
  </si>
  <si>
    <t>kamlesh</t>
  </si>
  <si>
    <t>Sr no.</t>
  </si>
  <si>
    <t>Hoarding Removed</t>
  </si>
  <si>
    <t>06.05.2022</t>
  </si>
  <si>
    <t>Rational</t>
  </si>
  <si>
    <t xml:space="preserve"> Market area, school, hospital, hotel ,corporate area , Banks, Theatre, Haldiram</t>
  </si>
  <si>
    <t>Commercial &amp; High Traffic Area, Main Junction,hospital, retail market, Sai temple</t>
  </si>
  <si>
    <t>Commercial &amp; High Traffic Area, food &amp; cloth market,  Main Market area, school, hospital, hotel ,corporate area ,Theatre</t>
  </si>
  <si>
    <t xml:space="preserve"> Commercial &amp; High Traffic Area, Market area, school, hospital, hotel ,corporate area , Banks, Theatre, Haldiram</t>
  </si>
  <si>
    <t xml:space="preserve"> Commercial &amp; High Traffic Area, Market area, school, hospital, hotel ,corporate area , Banks</t>
  </si>
  <si>
    <t xml:space="preserve"> Commercial &amp; High Traffic Area, Market area, school, hospital, hotel ,corporate area , Court, NMC</t>
  </si>
  <si>
    <t>Commercial &amp; High Traffic Area, Market, school, college, transport area</t>
  </si>
  <si>
    <t>Commercial &amp; High Traffic Area, Main  buldi market, etrtnity mall main junction</t>
  </si>
  <si>
    <t>Commercial &amp; High Traffic Area, Main  buldi market, etrtnity mall main junction, hospital hotel ,Petrol pump &amp; theatre</t>
  </si>
  <si>
    <t>Commercial &amp; High Traffic Area, Main  buldi market, Big Bazar main junction</t>
  </si>
  <si>
    <t>Display Side</t>
  </si>
  <si>
    <t>NL</t>
  </si>
  <si>
    <t>Total Sq.ft.</t>
  </si>
  <si>
    <t>Lit / Non Lit</t>
  </si>
  <si>
    <t>AGENCY</t>
  </si>
  <si>
    <t>Stand Alone</t>
  </si>
  <si>
    <t>S-L2-2</t>
  </si>
  <si>
    <t>Wall Mounted</t>
  </si>
  <si>
    <t>S-L2-3</t>
  </si>
  <si>
    <t>S-L2-24</t>
  </si>
  <si>
    <t>S-L2-4</t>
  </si>
  <si>
    <t>S-L2-5</t>
  </si>
  <si>
    <t>S-L2-6</t>
  </si>
  <si>
    <t>S-L2-7</t>
  </si>
  <si>
    <t>S-L2-8</t>
  </si>
  <si>
    <t>S-L2-9</t>
  </si>
  <si>
    <t>S-L2-10</t>
  </si>
  <si>
    <t>S-L2-11</t>
  </si>
  <si>
    <t>S-L2-12</t>
  </si>
  <si>
    <t>S-L2-13</t>
  </si>
  <si>
    <t>S-L2-14</t>
  </si>
  <si>
    <t>S-L2-15</t>
  </si>
  <si>
    <t>S-L2-16</t>
  </si>
  <si>
    <t>S-L2-17</t>
  </si>
  <si>
    <t>S-L2-18</t>
  </si>
  <si>
    <t>S-L2-19</t>
  </si>
  <si>
    <t>S-L2-20</t>
  </si>
  <si>
    <t>S-L2-21</t>
  </si>
  <si>
    <t>S-L2-22</t>
  </si>
  <si>
    <t>S-L2-23</t>
  </si>
  <si>
    <t>KIOSKS</t>
  </si>
  <si>
    <t>Buttibori Flyover (Left)</t>
  </si>
  <si>
    <t>Buttibori Flyover (Right)</t>
  </si>
  <si>
    <t>Back to Back</t>
  </si>
  <si>
    <t>Commercial &amp; High Traffic Area, Main Junction,hospital, Ganesh tekdi, Railway station, Bank sector</t>
  </si>
  <si>
    <t xml:space="preserve"> </t>
  </si>
  <si>
    <t xml:space="preserve">     </t>
  </si>
  <si>
    <t xml:space="preserve">   </t>
  </si>
  <si>
    <t xml:space="preserve"> Commercial &amp; High Traffic Area, Market area, school, hospital, hotel ,corporate area , Banks, Theatre, Dominos, petrol pump</t>
  </si>
  <si>
    <t xml:space="preserve"> Commercial &amp; High Traffic Area, Market area, hospital, hotel ,corporate area , Banks, Temple</t>
  </si>
  <si>
    <t>Commercial &amp; High Traffic Area, Main Junction,hospital, retail market,Corporate Area,School &amp; College, Sai temple</t>
  </si>
  <si>
    <t xml:space="preserve"> Commercial &amp; High Traffic Area, Main Market area, school &amp; College, hospital, hotel ,corporate area ,Haldiram ,Theatre</t>
  </si>
  <si>
    <t xml:space="preserve">Commercial &amp; High Traffic Area,Main Market Area, Hospital, Hotel, School </t>
  </si>
  <si>
    <t>Commercial &amp; High Traffic Area,Industrial Market, school, transport area, Stock of all kinds , Banks,</t>
  </si>
  <si>
    <t>Commercial &amp; High Traffic Area, Real Estate , towards power station &amp; Koradi temple</t>
  </si>
  <si>
    <t>High Traffic Area, Main Bus stand, Residential &amp; Commercial Area, Market Area</t>
  </si>
  <si>
    <t>Residential &amp; Commercial Area, High Traffic Area, Hotel, Real Estate area</t>
  </si>
  <si>
    <t xml:space="preserve"> Commercial &amp; High Traffic Area, Empress Mall, Main Market, School, College, Hospital Area</t>
  </si>
  <si>
    <t>JR-1</t>
  </si>
  <si>
    <t>WALL MOUNTED</t>
  </si>
  <si>
    <t>JR-2</t>
  </si>
  <si>
    <t>JR-3</t>
  </si>
  <si>
    <t>JR-4</t>
  </si>
  <si>
    <t>STAND ALONE</t>
  </si>
  <si>
    <t>JR-5</t>
  </si>
  <si>
    <t>JR-6</t>
  </si>
  <si>
    <t>JR-7</t>
  </si>
  <si>
    <t>JR-8</t>
  </si>
  <si>
    <t>JR-9</t>
  </si>
  <si>
    <t>JR-10</t>
  </si>
  <si>
    <t>JR-11</t>
  </si>
  <si>
    <t>JR-12</t>
  </si>
  <si>
    <t>JR-13</t>
  </si>
  <si>
    <t>JR-14</t>
  </si>
  <si>
    <t>JR-15</t>
  </si>
  <si>
    <t>Jr-16</t>
  </si>
  <si>
    <t>JR-17</t>
  </si>
  <si>
    <t>Jr-18</t>
  </si>
  <si>
    <t>Jr-19</t>
  </si>
  <si>
    <t>Jr-20</t>
  </si>
  <si>
    <t>Jr-21</t>
  </si>
  <si>
    <t>Jr-22</t>
  </si>
  <si>
    <t>JR-23</t>
  </si>
  <si>
    <t>TOTAL</t>
  </si>
  <si>
    <t>List of Signage to be  Displayed   Inside Jhansi Rani Metro Station</t>
  </si>
  <si>
    <t>Bus Stand Rd Fc Bus Stand</t>
  </si>
  <si>
    <t xml:space="preserve">Bus Stand Rd Fc Post Office </t>
  </si>
  <si>
    <t>Sawangi Rd Opp. Railway Station Rd Fc Krushi Utpanna Bazar Samiti</t>
  </si>
  <si>
    <t xml:space="preserve">Sawangi Rd Opp. Railway Station Rd Fc Medical Collage </t>
  </si>
  <si>
    <t xml:space="preserve">Wardha </t>
  </si>
  <si>
    <r>
      <t>Commercial &amp; High Traffic Area,Industrial Market,  Stock of all kinds , Banks,Godown,transportation hub,</t>
    </r>
    <r>
      <rPr>
        <u/>
        <sz val="11"/>
        <color rgb="FFFF0000"/>
        <rFont val="Cambria"/>
        <family val="1"/>
        <scheme val="major"/>
      </rPr>
      <t xml:space="preserve"> Large ware house,Dhaba</t>
    </r>
  </si>
  <si>
    <r>
      <t xml:space="preserve">Commercial &amp; High Traffic Area, Market, school, college, transportation hub &amp; industrial area, </t>
    </r>
    <r>
      <rPr>
        <sz val="11"/>
        <color rgb="FFFF0000"/>
        <rFont val="Cambria"/>
        <family val="1"/>
        <scheme val="major"/>
      </rPr>
      <t>Dhaba</t>
    </r>
  </si>
  <si>
    <r>
      <t xml:space="preserve">Heavy transportaion ,Commercial &amp; High Traffic Area, Market, area, Hotel,  </t>
    </r>
    <r>
      <rPr>
        <u/>
        <sz val="11"/>
        <color rgb="FFFF0000"/>
        <rFont val="Cambria"/>
        <family val="1"/>
        <scheme val="major"/>
      </rPr>
      <t>ITC Choupal Sagar,Dhaba</t>
    </r>
  </si>
  <si>
    <t xml:space="preserve">Commercial &amp; High Traffic Area, Main Junction,hospital,Industrial Market, retail market, </t>
  </si>
  <si>
    <r>
      <t>Heavy commercial area, Hospital, bank,Industrial Area,Market area,</t>
    </r>
    <r>
      <rPr>
        <u/>
        <sz val="11"/>
        <color rgb="FFFF0000"/>
        <rFont val="Cambria"/>
        <family val="1"/>
        <scheme val="major"/>
      </rPr>
      <t xml:space="preserve"> Mandi</t>
    </r>
  </si>
  <si>
    <r>
      <t>Commercial &amp; High Traffic Area, Real Estate , towards Koradi power station &amp; Koradi temple,</t>
    </r>
    <r>
      <rPr>
        <u/>
        <sz val="11"/>
        <color rgb="FFFF0000"/>
        <rFont val="Cambria"/>
        <family val="1"/>
        <scheme val="major"/>
      </rPr>
      <t>Dhaba</t>
    </r>
  </si>
  <si>
    <t xml:space="preserve">Commercial &amp; High Traffic Area, Market, Heavy transportaion area </t>
  </si>
  <si>
    <r>
      <t xml:space="preserve"> Commercial &amp; High Traffic Area, Industrial Market area, Transportaion hub, hospital, hotel ,corporate area , </t>
    </r>
    <r>
      <rPr>
        <u/>
        <sz val="11"/>
        <color rgb="FFFF0000"/>
        <rFont val="Cambria"/>
        <family val="1"/>
        <scheme val="major"/>
      </rPr>
      <t xml:space="preserve"> Mandi,Dhaba</t>
    </r>
  </si>
  <si>
    <r>
      <t>Commercial &amp; High Traffic Area, Jamtha stadium, Corporate Area, College, MIDC Road, Transport Area,godown hub,</t>
    </r>
    <r>
      <rPr>
        <u/>
        <sz val="11"/>
        <color rgb="FFFF0000"/>
        <rFont val="Cambria"/>
        <family val="1"/>
        <scheme val="major"/>
      </rPr>
      <t>ITC Choupal Sagar</t>
    </r>
  </si>
  <si>
    <t>B /LIT</t>
  </si>
  <si>
    <t>media</t>
  </si>
  <si>
    <t>30.01.2023</t>
  </si>
  <si>
    <t xml:space="preserve">Agency Rate  </t>
  </si>
  <si>
    <t>LOCATION</t>
  </si>
  <si>
    <t>TYPE</t>
  </si>
  <si>
    <t>NET</t>
  </si>
  <si>
    <t>FROM PIER TO PIER</t>
  </si>
  <si>
    <t>Signages No.</t>
  </si>
  <si>
    <t>Total sq ft</t>
  </si>
  <si>
    <t>7 TO 29</t>
  </si>
  <si>
    <t>30 TO 39</t>
  </si>
  <si>
    <t>47 TO 76</t>
  </si>
  <si>
    <t>77 TO 104</t>
  </si>
  <si>
    <t>105 TO 131</t>
  </si>
  <si>
    <t>133 TO 148</t>
  </si>
  <si>
    <t>159 TO 174</t>
  </si>
  <si>
    <t>174 TO 213</t>
  </si>
  <si>
    <t>215 TO 238</t>
  </si>
  <si>
    <t>245 TO 265</t>
  </si>
  <si>
    <t>267 TO 293</t>
  </si>
  <si>
    <t>297 TO 293</t>
  </si>
  <si>
    <t>Jhansi Rani Square to  Nagpur University Library Square</t>
  </si>
  <si>
    <t>292 TO 272</t>
  </si>
  <si>
    <t>Nagpur University Library Square to Alankar Square</t>
  </si>
  <si>
    <t>271 TO 261</t>
  </si>
  <si>
    <t>260 TO 251</t>
  </si>
  <si>
    <t>250 TO 236</t>
  </si>
  <si>
    <t>235 TO 214</t>
  </si>
  <si>
    <t>217 TO 187</t>
  </si>
  <si>
    <t>165 TO 160</t>
  </si>
  <si>
    <t>159 TO 137</t>
  </si>
  <si>
    <t>136 TO 119</t>
  </si>
  <si>
    <t>118 TO 88</t>
  </si>
  <si>
    <t xml:space="preserve">Vasudev Nagar Metro Station to Hingna T-Point (MIDC) </t>
  </si>
  <si>
    <t>87 TO 73</t>
  </si>
  <si>
    <t>72 TO 45</t>
  </si>
  <si>
    <t>44 TO 28</t>
  </si>
  <si>
    <t>28 TO 02</t>
  </si>
  <si>
    <t>05.01.2023</t>
  </si>
  <si>
    <t>Line</t>
  </si>
  <si>
    <t>Orange</t>
  </si>
  <si>
    <t>18.01.2023</t>
  </si>
  <si>
    <t>FRAME SIZE</t>
  </si>
  <si>
    <t>BANNER SIZE</t>
  </si>
  <si>
    <t>05.05.2023</t>
  </si>
  <si>
    <t>17.03.2023</t>
  </si>
  <si>
    <t>AQUA</t>
  </si>
  <si>
    <t>NMC DURATION</t>
  </si>
  <si>
    <t>28.03.2023</t>
  </si>
  <si>
    <t>Kamlesh Sir</t>
  </si>
  <si>
    <t>1 to 10</t>
  </si>
  <si>
    <t xml:space="preserve">Ravi Nagar Sq. Fc Law College Sq. </t>
  </si>
  <si>
    <t>Wardha Road Fc Ajani Sq. to Chhatrapati Sq.</t>
  </si>
  <si>
    <t>Wardha Road Chhatrapati Sq.</t>
  </si>
  <si>
    <t>Lokmat Sq. Fc Rahate Colony</t>
  </si>
  <si>
    <t>Gittikhadan Sq. Fc  Friends Colony</t>
  </si>
  <si>
    <t>Itwari Sq. Fc Nanga Putla Sq.</t>
  </si>
  <si>
    <t>Gandhi Bagh Garden Sq. Fc Lal Imli</t>
  </si>
  <si>
    <t xml:space="preserve">Opp. Bus Stand Fc Agyaram devi </t>
  </si>
  <si>
    <t>Opp. Bus Stand Fc Baidyantah Sq.</t>
  </si>
  <si>
    <t>rate per pole</t>
  </si>
  <si>
    <t>INSTALLED NO.</t>
  </si>
  <si>
    <t>FLEX SIZE WXH (INCHES)</t>
  </si>
  <si>
    <t>DESIGN SIZE WXH (INCHES)</t>
  </si>
  <si>
    <t>Status</t>
  </si>
  <si>
    <t>25.05.2023</t>
  </si>
  <si>
    <t>Wadi Fc Wadi</t>
  </si>
  <si>
    <t xml:space="preserve">Wadi Fc Nagpur </t>
  </si>
  <si>
    <t>Ram Nagar Aath Rasta Sq. 1</t>
  </si>
  <si>
    <t xml:space="preserve">Ram Nagar Aath Rasta Sq. 2 </t>
  </si>
  <si>
    <t>Ram Nagar Aath Rasta Sq. 3</t>
  </si>
  <si>
    <t>Gokulpeth (Dharampeth) Coffee House Sq. Fc Law College Sq.</t>
  </si>
  <si>
    <t>Civil Lines Board Office Sq. Fc Akashwani (Patrakar Club)</t>
  </si>
  <si>
    <t xml:space="preserve">Hingna T-Point Priyadarshini </t>
  </si>
  <si>
    <t>Yashwant Stadium Fc Panchsheel Sq.</t>
  </si>
  <si>
    <t>Agresen Sq. Fc Gandhibagh Garden (RIGHT)</t>
  </si>
  <si>
    <t>Samrat Ashok Sq. Fc Medical Sq.</t>
  </si>
  <si>
    <t>Empress Mall Fc Mahal  Road</t>
  </si>
  <si>
    <t>Shegaon Naka Fc Paratwada Rd.</t>
  </si>
  <si>
    <t xml:space="preserve">Kudwa Ring Rd Opp. Sahyog Hospital Fc Railway Crossing  </t>
  </si>
  <si>
    <t>Rail Toli Rd Fc Rail Toli Sq.</t>
  </si>
  <si>
    <t>03.05.2023</t>
  </si>
  <si>
    <t>Remarks</t>
  </si>
  <si>
    <t>NITIN CHNADAK</t>
  </si>
  <si>
    <t>Shri Sivam</t>
  </si>
  <si>
    <t>Karan Kothari</t>
  </si>
  <si>
    <t>Hingna T-Point Priyadarshini (Right)</t>
  </si>
  <si>
    <t>Agrasen Sq. Fc Agresen Bhavan (Mahadev Mandir)</t>
  </si>
  <si>
    <t>Agresen Sq. Fc Gandhibagh Garden (LEFT)</t>
  </si>
  <si>
    <t>Automotive Sq. (Bottom)</t>
  </si>
  <si>
    <t>Automotive Sq. (Top)</t>
  </si>
  <si>
    <t xml:space="preserve">Empress Mall Fc Main Bus Stand </t>
  </si>
  <si>
    <t>Laxmi Nagar Aath Rasta Sq.</t>
  </si>
  <si>
    <t>Patel Timber Sq. Great Nag Road Fc Baidhyanath Sq.</t>
  </si>
  <si>
    <t xml:space="preserve">Opp. Bus Stand Fc Agyaram Devi </t>
  </si>
  <si>
    <t>C.A. Road Fc Agresen Sq.</t>
  </si>
  <si>
    <t>Gandhi Bagh Garden Fc Itwari Sq.</t>
  </si>
  <si>
    <t>C.A. Road, Opp. Poddareshwar Ram Mandir Fc Mayo Hospital</t>
  </si>
  <si>
    <t>C.A. Road, Opp. Poddareshwar Ram Mandir Fc Jaistambh Sq. (Railway Station Sq.)</t>
  </si>
  <si>
    <t>Koradi Rd. (Wox Coolar) Mankapur Fc Mankapur Sq.</t>
  </si>
  <si>
    <t>Koradi Rd. (Wox Coolar) Mankapur Fc Koradi Naka</t>
  </si>
  <si>
    <t>Lokmat Sq. Fc Panchsheel Sq.</t>
  </si>
  <si>
    <t>Morris College Fc Variety Sq.</t>
  </si>
  <si>
    <t>D'peth, W.H.C Road Fc Shankar Nagar Sq.</t>
  </si>
  <si>
    <t>Shankar Nagar Sq. Fc N.A. Road (Right)</t>
  </si>
  <si>
    <t>Shankar Nagar Sq. Fc N.A. Road (Left)</t>
  </si>
  <si>
    <t>Bus Stand ROB Fc Bus Stand (RHS)</t>
  </si>
  <si>
    <t>Bus Stand ROB Fc Priyadrashni Sq. (LHS)</t>
  </si>
  <si>
    <t>Bus Stand ROB Fc Bus Stand (LHS)</t>
  </si>
  <si>
    <t>Priydarshani ROB Fc Priyadarshani Sq. 1st from Sq.</t>
  </si>
  <si>
    <t>Priydarshani ROB Fc Priyadarshani Sq. 2nd from Sq.</t>
  </si>
  <si>
    <t>Priydarshani ROB Fc Priyadarshani Sq. 3rd from Sq.</t>
  </si>
  <si>
    <t xml:space="preserve">Warora Naka ROB Fc Nagpur Road </t>
  </si>
  <si>
    <t>Girls High School Fc Irvin Sq.</t>
  </si>
  <si>
    <t>Court Square Fc Girls High Sq.</t>
  </si>
  <si>
    <t>Bus Stand Sq. Fc Railway Station</t>
  </si>
  <si>
    <t>Shegaon Naka Fc Panchwati</t>
  </si>
  <si>
    <t>Nawathe Sq. Fc Rajapeth (Badnera Road)</t>
  </si>
  <si>
    <t>Panchwati Sq. Fc Nagpur Road</t>
  </si>
  <si>
    <t>Muslim Library</t>
  </si>
  <si>
    <t>Zilha Parishad Sq. Fc Nagpur Road (Right)</t>
  </si>
  <si>
    <t>Zilha Parishad Sq. Fc Nagpur Road (Left)</t>
  </si>
  <si>
    <t>Opp. D-Mart</t>
  </si>
  <si>
    <t>R. Month</t>
  </si>
  <si>
    <t>Coffee House Sq.  to Lotus Complex</t>
  </si>
  <si>
    <t>Lotus Complex to Law College Sq.</t>
  </si>
  <si>
    <t>Shankar Nagar Sq. to Bajaj Nagar Sq.</t>
  </si>
  <si>
    <t>Bajaj Nagar Sq. to Laxmi Nagar Sq.</t>
  </si>
  <si>
    <t>VIP Road Traffic Park to Alankar Sq.</t>
  </si>
  <si>
    <t>Alankar Sq. to Kanchipura Sq.</t>
  </si>
  <si>
    <t>Laxmi Bhavan to Coffee House Sq.</t>
  </si>
  <si>
    <t>Lit/ Nonlit</t>
  </si>
  <si>
    <t>Start Date</t>
  </si>
  <si>
    <t>End Date</t>
  </si>
  <si>
    <t>Total Sq. Ft.</t>
  </si>
  <si>
    <t>Sq. Ft.</t>
  </si>
  <si>
    <t>Durga Square Fc Carmel School, Lady Harding</t>
  </si>
  <si>
    <t xml:space="preserve">Ratanlal Plot Fc Jatharpeth, Holly Cross School </t>
  </si>
  <si>
    <t>Ratanlal Plot Cc Tower Square</t>
  </si>
  <si>
    <t>Ashok Vatika Sq. Fc Alsi Plot, Ashok Vatika Sq. 2nd</t>
  </si>
  <si>
    <t>Ashok Vatika Sq. Fc Alsi Plot, Ashok Vatika Sq. 1st</t>
  </si>
  <si>
    <t xml:space="preserve">Opp. Cloth Rathi Market Fc M. G. Road, Open Theater </t>
  </si>
  <si>
    <t>Opp. Cloth Rathi Market Fc Janta Bazar</t>
  </si>
  <si>
    <t>Akola Mahanagar Palika Fc Bus Station (LEFT)</t>
  </si>
  <si>
    <t>Akola Mahanagar Palika Fc Bus Station (Right)</t>
  </si>
  <si>
    <t>Kotwali Square Fc Old City, Jain Chowk</t>
  </si>
  <si>
    <t>Civil Line Road Fc Nehru Park Square, NH-6  No. 01</t>
  </si>
  <si>
    <t>Civil Line Road Fc Nehru Park Square, NH-6 No.2</t>
  </si>
  <si>
    <t>Civil Line Road Fc Neharu Park Square No. 03</t>
  </si>
  <si>
    <t xml:space="preserve">Near Lady Harding Fc Carmel School Durga Square </t>
  </si>
  <si>
    <t>Main Hospital Road Fc Ashok Vatika 1st</t>
  </si>
  <si>
    <t>Net Rates</t>
  </si>
  <si>
    <t>Ref.
No.</t>
  </si>
  <si>
    <t>Locations</t>
  </si>
  <si>
    <t>LOCATIONS</t>
  </si>
  <si>
    <t>Airport South Metro Station to Airport Metro Station T-Point</t>
  </si>
  <si>
    <t>Airport Metro Station T-Point Upto Double decker Flyover (Sonegaon Police Station)</t>
  </si>
  <si>
    <t>Hotel Airport Center Point to Somalwada Sqaure (Below Double Decker Flyover)</t>
  </si>
  <si>
    <t>Chhatrapati Shivaji Square to Sai Mandir Square (Below Double Decker Flyover)</t>
  </si>
  <si>
    <t>Radission Blu Square to Chhatrapati Shivaji Square (Below Double Decker Flyover)</t>
  </si>
  <si>
    <t xml:space="preserve">From Double Decker Flyover End point (Near Paul Complex) to Ajni Square </t>
  </si>
  <si>
    <t>Ajni Square to Rahate Colony Square</t>
  </si>
  <si>
    <t xml:space="preserve">Rahate Colony Square to Ajni Railway Bridge Square </t>
  </si>
  <si>
    <t>Ajni Railway Bridge Square to Congress Nagar T-Point</t>
  </si>
  <si>
    <t>Congress Nagar T-Point to Dhantoli Police Station</t>
  </si>
  <si>
    <t>Munje Square, Sitabuldi to Jhansi Rani Square</t>
  </si>
  <si>
    <t>Alankar Square to Dharampeth School T-Point</t>
  </si>
  <si>
    <t>Dharampeth School T-Point to Shankar Nagar Square</t>
  </si>
  <si>
    <t>Shankar Nagar Square to LAD Square</t>
  </si>
  <si>
    <t>LAD Square to Ambazari T-Point</t>
  </si>
  <si>
    <t>Swami Vivekanand  Smarak Square to Subhash Nagar T-Point</t>
  </si>
  <si>
    <t>Subhash Nagar T-Point to FDCM Office (Hingna Road)</t>
  </si>
  <si>
    <t xml:space="preserve">FDCM Office (Hingna Road) to Hingna T-Point (Rachna Metro Station) </t>
  </si>
  <si>
    <t xml:space="preserve">Hingna T-Point (Rachna Metro Station) to Vasudev Nagar Metro Station </t>
  </si>
  <si>
    <t xml:space="preserve">Hingna T-Point (MIDC) to Mahindra Factory Gate </t>
  </si>
  <si>
    <t xml:space="preserve">Mahindra Factory Gate to Lokmanaya Nagar Metro Station Square </t>
  </si>
  <si>
    <t>Lokmanaya Nagar Metro Station Square to Hingna Mount  View Car Depot</t>
  </si>
  <si>
    <t>17.06.2023</t>
  </si>
  <si>
    <t>Signages Qty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</si>
  <si>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Minimum 3 months booking Compulsory.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</si>
  <si>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Median Signages will be provided after 15 days from the date of order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</si>
  <si>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Payment is advance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</si>
  <si>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 xml:space="preserve">All the above mentioned sites are </t>
    </r>
    <r>
      <rPr>
        <b/>
        <sz val="12"/>
        <color rgb="FF000000"/>
        <rFont val="Calibri Light"/>
        <family val="2"/>
      </rPr>
      <t>Subject to availability</t>
    </r>
    <r>
      <rPr>
        <sz val="12"/>
        <color rgb="FF000000"/>
        <rFont val="Calibri Light"/>
        <family val="2"/>
      </rPr>
      <t xml:space="preserve"> at the time of final booking/written confirmation.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</si>
  <si>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Formal Add Release order to be drawn in favour of</t>
    </r>
    <r>
      <rPr>
        <b/>
        <sz val="12"/>
        <color rgb="FF000000"/>
        <rFont val="Calibri Light"/>
        <family val="2"/>
      </rPr>
      <t xml:space="preserve"> "Truesign Media"</t>
    </r>
    <r>
      <rPr>
        <sz val="12"/>
        <color rgb="FF000000"/>
        <rFont val="Calibri Light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</si>
  <si>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GST @18.00% extra.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</si>
  <si>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 xml:space="preserve">No mid term cancellation will be accepted. 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</si>
  <si>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Flex torn due to natural calamity or stolen by chance shall borne by party not by Truesign Media.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</si>
  <si>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 xml:space="preserve">Flex Mounting  &amp; Printing charges for backlit @ Rs. 35/- Per Sqr. Ft Extra. 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</si>
  <si>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 Light"/>
        <family val="2"/>
      </rPr>
      <t>Any additional tax applied by govt. during the campaign will be applicable.</t>
    </r>
  </si>
  <si>
    <t>light pending BOX COMPLTE ON 21.04.2023</t>
  </si>
  <si>
    <r>
      <t xml:space="preserve">Size 
</t>
    </r>
    <r>
      <rPr>
        <b/>
        <sz val="9"/>
        <color theme="1"/>
        <rFont val="Calibri"/>
        <family val="2"/>
        <scheme val="minor"/>
      </rPr>
      <t>(in Sq. Ft.)</t>
    </r>
  </si>
  <si>
    <r>
      <t>Size</t>
    </r>
    <r>
      <rPr>
        <b/>
        <sz val="10"/>
        <color theme="1"/>
        <rFont val="Calibri"/>
        <family val="2"/>
        <scheme val="minor"/>
      </rPr>
      <t xml:space="preserve"> 
</t>
    </r>
    <r>
      <rPr>
        <b/>
        <sz val="9"/>
        <color theme="1"/>
        <rFont val="Calibri"/>
        <family val="2"/>
        <scheme val="minor"/>
      </rPr>
      <t>(in Inches)</t>
    </r>
  </si>
  <si>
    <t>21.15313</t>
  </si>
  <si>
    <t>21.14091</t>
  </si>
  <si>
    <t>09.05.2023</t>
  </si>
  <si>
    <t>04.05.2024</t>
  </si>
  <si>
    <t>SHAWN ELIZY</t>
  </si>
  <si>
    <t>08.08.2023</t>
  </si>
  <si>
    <t xml:space="preserve">Kamlesh </t>
  </si>
  <si>
    <t>87500/- + Printing &amp; Mounting 9 months</t>
  </si>
  <si>
    <t>Das Jwellers (SIX MONTHS from 1 july)</t>
  </si>
  <si>
    <t>Karmaney School</t>
  </si>
  <si>
    <t>Ultratech Cement</t>
  </si>
  <si>
    <t>CL2</t>
  </si>
  <si>
    <t>CL3</t>
  </si>
  <si>
    <t>28.06.2023</t>
  </si>
  <si>
    <t>Adani Cement</t>
  </si>
  <si>
    <t>01.07.2023</t>
  </si>
  <si>
    <t>Printable Size</t>
  </si>
  <si>
    <t>04.07.2023</t>
  </si>
  <si>
    <t>10.07.2023</t>
  </si>
  <si>
    <t>Do not propose</t>
  </si>
  <si>
    <t>31.12.2023</t>
  </si>
  <si>
    <t>DASS JWELLERS</t>
  </si>
  <si>
    <t>for 3 months</t>
  </si>
  <si>
    <t>Blocked</t>
  </si>
  <si>
    <t>3months</t>
  </si>
  <si>
    <t xml:space="preserve">21.46415, </t>
  </si>
  <si>
    <t>21.4389,</t>
  </si>
  <si>
    <t xml:space="preserve">21.43891, </t>
  </si>
  <si>
    <t>09.10.2023</t>
  </si>
  <si>
    <t>24.02.2024</t>
  </si>
  <si>
    <t>03.10.2023</t>
  </si>
  <si>
    <t>12.07.2023</t>
  </si>
  <si>
    <t>ADANI CEMENT</t>
  </si>
  <si>
    <t>12.07.23</t>
  </si>
  <si>
    <t>BLOCKED</t>
  </si>
  <si>
    <t>11.10.2023</t>
  </si>
  <si>
    <t xml:space="preserve"> Somalwada Sqaure  to Radission Blu Square (Below Double Decker Flyover) </t>
  </si>
  <si>
    <t>02.10.2023</t>
  </si>
  <si>
    <t>3</t>
  </si>
  <si>
    <t xml:space="preserve">Mate Sq.  </t>
  </si>
  <si>
    <t>Vaishno Devi Chowk to Wardhaman Nagar Chowk</t>
  </si>
  <si>
    <t>Wardhaman Nagar Chowk to Ambedkar Chowk</t>
  </si>
  <si>
    <t>Ambedkar Chowk to Chapru Nagar Chowk</t>
  </si>
  <si>
    <t>Chapru Nagar chowk to Telephone Exchange Sq.</t>
  </si>
  <si>
    <t>Telephone Exchange Sq. to Rahate Hospital Sq.</t>
  </si>
  <si>
    <t>Rahate Hospital sq. t Adam Shah Sq.</t>
  </si>
  <si>
    <t>Adam Shah Sq. to Darodkar Sq.</t>
  </si>
  <si>
    <t>Darodkar Sq. to Chitaroli Sq. (Gandhi Putla Sq.)</t>
  </si>
  <si>
    <t>Chitaroli Sq. to Yadav Bhawan Sq. (Gandhibagh)</t>
  </si>
  <si>
    <t>Yadav Bhawan Sq. (Gandhibagh) to Agrasen Sq.</t>
  </si>
  <si>
    <t>Agrasen Sq. to Sevasadan Sq.</t>
  </si>
  <si>
    <t>Sevasadan Sq. to Gitanjal Sq.</t>
  </si>
  <si>
    <t>Gitanjali Sq. to Dosar Bhawan Sq.</t>
  </si>
  <si>
    <t>Dosar Bhawan Sq. to Poddareshwar Ram Mandir Sq.</t>
  </si>
  <si>
    <t>Poddareshwar Ram Mandir to Nagpur Railway Metro Station Sq.</t>
  </si>
  <si>
    <t>Nagpur Railway Metro station Sq. to Parcel Office Sq. (8 No. Platform.)</t>
  </si>
  <si>
    <t>Parcel Office Sq. (8 No. Platform) to Cotton Market Sq.</t>
  </si>
  <si>
    <t>Anand Talkies Sq. upto Munje Sq. (Railway Under Brigde)</t>
  </si>
  <si>
    <t>Munje Sq. to Variety Sq.</t>
  </si>
  <si>
    <t>09 TO 23</t>
  </si>
  <si>
    <t>24 TO 44</t>
  </si>
  <si>
    <t>45 TO 57</t>
  </si>
  <si>
    <t>58 TO 71</t>
  </si>
  <si>
    <t>72 TO 86</t>
  </si>
  <si>
    <t>87 TO 91</t>
  </si>
  <si>
    <t>92 TO 98</t>
  </si>
  <si>
    <t>99 TO 109</t>
  </si>
  <si>
    <t>112 TO 120</t>
  </si>
  <si>
    <t>121 TO 127</t>
  </si>
  <si>
    <t>128 TO 139</t>
  </si>
  <si>
    <t>140 TO 149</t>
  </si>
  <si>
    <t>150 TO 156</t>
  </si>
  <si>
    <t>157 TO DN11</t>
  </si>
  <si>
    <t>DN 17 TO DN 20</t>
  </si>
  <si>
    <t>DN 25 TO 176</t>
  </si>
  <si>
    <t>177 TO 194</t>
  </si>
  <si>
    <t>206 TO 216</t>
  </si>
  <si>
    <t>239 TO 245</t>
  </si>
  <si>
    <t>299 TO 293</t>
  </si>
  <si>
    <t>235 to 227</t>
  </si>
  <si>
    <t>226 to 218</t>
  </si>
  <si>
    <t>217 to 213</t>
  </si>
  <si>
    <t>212 to 206</t>
  </si>
  <si>
    <t>205 to 200</t>
  </si>
  <si>
    <t>199 to 186</t>
  </si>
  <si>
    <t>164 to 160</t>
  </si>
  <si>
    <t>159 to 144</t>
  </si>
  <si>
    <t>143 to 137</t>
  </si>
  <si>
    <t>136 to 120</t>
  </si>
  <si>
    <t>117 to 104</t>
  </si>
  <si>
    <t>103 to 94</t>
  </si>
  <si>
    <t>93 to 88</t>
  </si>
  <si>
    <t>87 to 81</t>
  </si>
  <si>
    <t>80 to 73</t>
  </si>
  <si>
    <t>72 to 68</t>
  </si>
  <si>
    <t>67 to 59</t>
  </si>
  <si>
    <t>58 to 52</t>
  </si>
  <si>
    <t>51 to 45</t>
  </si>
  <si>
    <t>44 to 37</t>
  </si>
  <si>
    <t>36 to 26</t>
  </si>
  <si>
    <t>27 to 20</t>
  </si>
  <si>
    <t>19 to 13</t>
  </si>
  <si>
    <t>12  to 01</t>
  </si>
  <si>
    <t>REMOVED</t>
  </si>
  <si>
    <t>Block</t>
  </si>
  <si>
    <t>Hoardng Locations</t>
  </si>
  <si>
    <t>Kamlesh</t>
  </si>
  <si>
    <t>Das Jewellers</t>
  </si>
  <si>
    <t xml:space="preserve">Anand Talkies Sq. (Railway Under Brigde). to Munje Sq. </t>
  </si>
  <si>
    <t>mounting @ 2rs per sq ft</t>
  </si>
  <si>
    <t>Rate for 3 Days</t>
  </si>
  <si>
    <t>Total amount</t>
  </si>
  <si>
    <t>For satuday Program commerical</t>
  </si>
  <si>
    <t>for 7 days</t>
  </si>
  <si>
    <t>tjbs</t>
  </si>
  <si>
    <t>Goldisign media</t>
  </si>
  <si>
    <t>Kothari jwellers</t>
  </si>
  <si>
    <t>karan kothari</t>
  </si>
  <si>
    <t xml:space="preserve">Munje Sq. Sitabuldi to Jhansi Rani Sq. </t>
  </si>
  <si>
    <t xml:space="preserve">Jhansi Rani Sq. to University Library Sq. </t>
  </si>
  <si>
    <t>University Library Sq. to Alankar Sq.</t>
  </si>
  <si>
    <t>Alankar Sq to Dharampeth Sq.</t>
  </si>
  <si>
    <t xml:space="preserve"> Dharampeth Sq. to Shankar Nagar Sq. </t>
  </si>
  <si>
    <t>Shankar Nagar Sq. to New Wockhardt Hospital Sq.</t>
  </si>
  <si>
    <t xml:space="preserve"> L.A.D. College Sq. to Gandhi Nagar Sq.</t>
  </si>
  <si>
    <t>SBI Bank Gandhi Nagar Sq. to Yashwant Nagar V.N.I.T. Office</t>
  </si>
  <si>
    <t>Yashwant Nagar V.N.I.T. Office to  N.I.T. Swimming Pool Sq.</t>
  </si>
  <si>
    <t>N.I.T. Swimming Pool Sq. to Dharampeth College Metro Station</t>
  </si>
  <si>
    <t>Swami Vivekanand Smarak to Subhash Nagar Sq.</t>
  </si>
  <si>
    <t xml:space="preserve">Subhash Nagar Sq. to G. H. Raisoni Vidyaniketan School Sq. </t>
  </si>
  <si>
    <t xml:space="preserve">I.C. Sq. to Hingna Mount car Depot Sq. </t>
  </si>
  <si>
    <t xml:space="preserve">Sangam Jwellers Sq. Hingna Road to I. C. Sq. </t>
  </si>
  <si>
    <t xml:space="preserve"> Lokmanya Nagar to Sangam Jwellers Sq.</t>
  </si>
  <si>
    <t xml:space="preserve">S.R.P. Gate No. 2 to Lokmanya Nagar Sq. </t>
  </si>
  <si>
    <t xml:space="preserve">Mahindra and Mahindra Company Sq. to S.R.P. Gate No. 2 </t>
  </si>
  <si>
    <t xml:space="preserve"> Pardhi Sq. to Mahindra and Mahindra Company Sq.</t>
  </si>
  <si>
    <t>Balaji Nagar Sq. to Pardhi Nagar Sq.</t>
  </si>
  <si>
    <t xml:space="preserve">Bansi Nagar Sq. to Balaji Nagar Sq. </t>
  </si>
  <si>
    <t xml:space="preserve">Wadi Bypass Sq. to Bansi Nagar SQ. </t>
  </si>
  <si>
    <t xml:space="preserve"> Hingna Naka Sq. to  Wadi Bypass Sq. </t>
  </si>
  <si>
    <t>Vasudeo Nagar Sq. to Hingna Naka Sq.</t>
  </si>
  <si>
    <t xml:space="preserve"> Gadge Nagar Sq. to Vasudeo Nagar Sq. </t>
  </si>
  <si>
    <t xml:space="preserve">True Value Maruti Sq. to Gadge Nagar Sq. </t>
  </si>
  <si>
    <t>Hingna T-Point Sq. to True Value Maruti Sq.</t>
  </si>
  <si>
    <t xml:space="preserve">F.D.C.M. Bhawan Sq. to Hingna T-Point Sq. </t>
  </si>
  <si>
    <t xml:space="preserve"> G. H. Raisoni Vidyaniketan School Sq. to F.D.C.M. Bhawan Sq. </t>
  </si>
  <si>
    <t xml:space="preserve">New Wockhardt Hospital Sq. to  L.A.D. College Sq. </t>
  </si>
  <si>
    <t>24 TO 30</t>
  </si>
  <si>
    <t>Wardhaman Nagar Chowk to Radiance Hospital sq</t>
  </si>
  <si>
    <t>Radiance Hospital sq to Ambedkar Chowk</t>
  </si>
  <si>
    <t>31 To 44</t>
  </si>
  <si>
    <t>BG MOTORS</t>
  </si>
  <si>
    <t>17.09.2023</t>
  </si>
  <si>
    <t>P N G</t>
  </si>
  <si>
    <t>Haldiram's Day to Day To Vaishno Devi Chowk</t>
  </si>
  <si>
    <t>02 TO 08</t>
  </si>
  <si>
    <t xml:space="preserve"> Rate for 30 days</t>
  </si>
  <si>
    <t xml:space="preserve">block/BOOKED </t>
  </si>
  <si>
    <t>UPTO 23.10.2026</t>
  </si>
  <si>
    <t>UPTO 23.10.2027</t>
  </si>
  <si>
    <t>UPTO 23.10.2028</t>
  </si>
  <si>
    <t>UPTO 23.10.2029</t>
  </si>
  <si>
    <t>UPTO 23.10.2030</t>
  </si>
  <si>
    <t>UPTO 23.10.2031</t>
  </si>
  <si>
    <t>UPTO 23.10.2032</t>
  </si>
  <si>
    <t xml:space="preserve">Chatrapati Square Fc Khamla Sq. (Left) </t>
  </si>
  <si>
    <t>03.12.2023</t>
  </si>
  <si>
    <t>11.12.2023</t>
  </si>
  <si>
    <t>Sr. no.</t>
  </si>
  <si>
    <t>total</t>
  </si>
  <si>
    <t xml:space="preserve">mate </t>
  </si>
  <si>
    <t>Ashish Badoriya</t>
  </si>
  <si>
    <t>Sanket physics</t>
  </si>
  <si>
    <t>Chatrapati Square Fc Khamla Sq. (Right)</t>
  </si>
  <si>
    <t>Don't Propose</t>
  </si>
  <si>
    <t>Kothari Jewellers</t>
  </si>
  <si>
    <t>06.12.2023</t>
  </si>
  <si>
    <t>24.11.2023</t>
  </si>
  <si>
    <t>298 TO 293</t>
  </si>
  <si>
    <t>4 Ultratech Cement</t>
  </si>
  <si>
    <t>Avl</t>
  </si>
  <si>
    <t>5 Ultratech cement</t>
  </si>
  <si>
    <t>3 Ultratech cement</t>
  </si>
  <si>
    <t>N /LIT</t>
  </si>
  <si>
    <t>N/LIT</t>
  </si>
  <si>
    <t>Vasudeo Nagar Sq. to Bhagat Sq. at HP Petrol Pump</t>
  </si>
  <si>
    <t xml:space="preserve">Wadi Bypass Sq. (Hingna T Point) to Bansi Nagar SQ. </t>
  </si>
  <si>
    <t>Bansi Nagar Sq. to Balaji Nagar (Nagpur Nagrik Sahakari bank)</t>
  </si>
  <si>
    <t>Balaji Nagar  (Nagpur Nagrik Sahakari bank) to Pardhi Nagar before Jalaram manganlam Complex</t>
  </si>
  <si>
    <t xml:space="preserve">Mahindra and Mahindra Company Main Gate  to S.R.P. Gate No. 2 </t>
  </si>
  <si>
    <t xml:space="preserve">Rai Town Society  Hingna Road to I. C. Sq. </t>
  </si>
  <si>
    <t>Khapri Flyover fc Chinchbhavan (LEFT)</t>
  </si>
  <si>
    <t>Khapri Flyover fc Chinchbhavan (RIGHT)</t>
  </si>
  <si>
    <t xml:space="preserve">Munje Sq. To Anand Talkies Sq. (Railway Under Brigde) </t>
  </si>
  <si>
    <t xml:space="preserve"> 216 To 206</t>
  </si>
  <si>
    <t>Dosar Bhawan Sq. To Gitanjali Sq</t>
  </si>
  <si>
    <t>156 To 150</t>
  </si>
  <si>
    <t xml:space="preserve"> Gitanjal Sq. To Sevasadan Sq</t>
  </si>
  <si>
    <t>149 To 140</t>
  </si>
  <si>
    <t xml:space="preserve"> Sevasadan Sq. To Agrasen Sq.</t>
  </si>
  <si>
    <t xml:space="preserve"> 139 To 128</t>
  </si>
  <si>
    <t xml:space="preserve"> Agrasen Sq. To Yadav Bhawan Sq. (Gandhibagh)</t>
  </si>
  <si>
    <t>127 To 121</t>
  </si>
  <si>
    <t xml:space="preserve"> Yadav Bhawan Sq. (Gandhibagh) To Chitaroli Sq.</t>
  </si>
  <si>
    <t xml:space="preserve"> 120 To 112</t>
  </si>
  <si>
    <t xml:space="preserve"> Chitaroli Sq. (Gandhi Putla Sq.) To Darodkar Sq.</t>
  </si>
  <si>
    <t xml:space="preserve"> 109 To 99</t>
  </si>
  <si>
    <t>Darodkar Sq. To Adam Shah Sq.</t>
  </si>
  <si>
    <t>98 To 92</t>
  </si>
  <si>
    <t xml:space="preserve"> Adam Shah Sq. To Rahate Hospital sq</t>
  </si>
  <si>
    <t xml:space="preserve"> 91 To 87</t>
  </si>
  <si>
    <t xml:space="preserve"> Rahate Hospital Sq. To Telephone Exchange Sq.</t>
  </si>
  <si>
    <t xml:space="preserve"> 86 To 72</t>
  </si>
  <si>
    <t>Telephone Exchange Sq. To Chapru Nagar chowk</t>
  </si>
  <si>
    <t xml:space="preserve"> 71 To  58</t>
  </si>
  <si>
    <t>Chapru Nagar Chowk To Ambedkar Chowk</t>
  </si>
  <si>
    <t>57 To 45</t>
  </si>
  <si>
    <t xml:space="preserve"> Ambedkar Chowk To Radiance Hospital sq</t>
  </si>
  <si>
    <t>44 To 31</t>
  </si>
  <si>
    <t xml:space="preserve"> Radiance Hospital sq To Wardhaman Nagar Chowk</t>
  </si>
  <si>
    <t xml:space="preserve"> 30 To 24</t>
  </si>
  <si>
    <t xml:space="preserve"> Wardhaman Nagar Chowk To Vaishno Devi Chowk</t>
  </si>
  <si>
    <t xml:space="preserve"> 23 To 9</t>
  </si>
  <si>
    <t>Vaishno Devi Chowk To Haldiram's Day to Day</t>
  </si>
  <si>
    <t xml:space="preserve"> 08 To 2</t>
  </si>
  <si>
    <t xml:space="preserve"> Poddareshwar Ram Mandir Sq. To Dosar Bhawan Sq.</t>
  </si>
  <si>
    <t xml:space="preserve"> DN11 To 157</t>
  </si>
  <si>
    <t xml:space="preserve"> 245 To 239</t>
  </si>
  <si>
    <t>jjjjjjJJJJmmkjbj</t>
  </si>
  <si>
    <t>gfdgdgddg</t>
  </si>
  <si>
    <t>Sitabuldi Station Concourse  Level – 2 Staircase Down Wall</t>
  </si>
  <si>
    <t xml:space="preserve">Sitabuldi Station Concourse  Level – 2 Platform Outside  </t>
  </si>
  <si>
    <t xml:space="preserve">Sitabuldi Station Concourse  Level -2 Pillar </t>
  </si>
  <si>
    <t>Sitabuldi Station PL No-4 Escalator Side Railing</t>
  </si>
  <si>
    <t xml:space="preserve">Sitabuldi Station PL No. 4  Staircase Side Railing </t>
  </si>
  <si>
    <t>Sitabuldi Station PL No. 4 Bench Escalator Side</t>
  </si>
  <si>
    <t>Sitabuldi Station PL No. 4 Escalator Down Wall</t>
  </si>
  <si>
    <t>Sitabuldi Station PL No. 4 Bench  Staircase side</t>
  </si>
  <si>
    <t xml:space="preserve">Sitabuldi Station PL No. 4 Staircase Down Wall Speaker </t>
  </si>
  <si>
    <t>Sitabuldi Station PL No. 4 Staircase Glass Railing  LHS</t>
  </si>
  <si>
    <t>Sitabuldi Station PL No. 4 Staircase Glass Railing  RHS</t>
  </si>
  <si>
    <t>Sitabuldi Station PL No. 4 Escalator Glass Railing  LHS</t>
  </si>
  <si>
    <t>Sitabuldi Station PL No. 4 Escalator Glass Railing  RHS</t>
  </si>
  <si>
    <t xml:space="preserve">Sitabuldi Station Pl No. 3 Escalator Side Railing </t>
  </si>
  <si>
    <t xml:space="preserve">Sitabuldi Station Pl No. 3 Staircase Side Railing </t>
  </si>
  <si>
    <t xml:space="preserve">Sitabuldi Station Pl No. 3 Escalator Wall  Down </t>
  </si>
  <si>
    <t>Sitabuldi Station Pl No. 3 Escalator Glass Railing  RHS</t>
  </si>
  <si>
    <t>Sitabuldi Station Pl No. 3 Escalator Glass Railing  LHS</t>
  </si>
  <si>
    <t xml:space="preserve">Sitabuldi Station Pl No. 3 Escalator Bench </t>
  </si>
  <si>
    <t>Sitabuldi Station Pl No. 3 Staircase Bench</t>
  </si>
  <si>
    <t xml:space="preserve">Sitabuldi Station Pl No. 3 Staircase Wall Down </t>
  </si>
  <si>
    <t>Sitabuldi Station Pl No. 3 Staircase Glass Railing  RHS</t>
  </si>
  <si>
    <t>Sitabuldi Station Pl No. 3 Staircase Glass Railing  LHS</t>
  </si>
  <si>
    <t>Jhansi Rani Station Entry Lobby Of Platform No1 Side</t>
  </si>
  <si>
    <t>Jhansi Rani Station Staircase Exit Platform No1 Side</t>
  </si>
  <si>
    <t>Jhansi Rani Station Entry Bhagini Mandal Of Platfom No 2 Side</t>
  </si>
  <si>
    <t>Jhansi Rani Station Opposite Lift Wall At Staircase Of Platform No2 Side</t>
  </si>
  <si>
    <t>Jhansi Rani Station At Lift Wall Of Concourse Area</t>
  </si>
  <si>
    <t xml:space="preserve">Jhansi Rani Station Ticket Counter Concourse Area </t>
  </si>
  <si>
    <t>Jhansi Rani Station Escalotor Side Exist PKV side of Platform No.1 towards Sitabuldi</t>
  </si>
  <si>
    <t>Jhansi Rani Station Escalator Wall PKV Side Platform No.1</t>
  </si>
  <si>
    <t>Jhansi Rani Station Platform No.1 Glass Railing  Escalator  PKV Side towards Sitabuldi</t>
  </si>
  <si>
    <t>Jhansi Rani Station Platform No.1 Glass Railing  Escalator PKV Side towards Sitabuldi</t>
  </si>
  <si>
    <t>Jhansi Rani Station Platform No.1 lift wall Pkv Side</t>
  </si>
  <si>
    <t>Jhansi Rani Station Platform No.1 Glass Railing Staircase PKV Side towards Sitabuldi</t>
  </si>
  <si>
    <t>Jhansi Rani Station Platform No.1 Staircase Wall Pkv Side</t>
  </si>
  <si>
    <t>Jhansi Rani Station Staircase Entry Platform no.2 Bhagini Mandal Side</t>
  </si>
  <si>
    <t>Jhansi Rani Station Platform No.2 Glass Railing Staircase PKV Side towards Sitabuldi</t>
  </si>
  <si>
    <t>Jhansi Rani Station Platform No.2 lift wall Pkv Side</t>
  </si>
  <si>
    <t>Jhansi Rani Station Platform No.2 Glass Railing Escalator side towards Hingana</t>
  </si>
  <si>
    <t>Jhansi Rani Station Platform No.2 Towards Hingana Bhagini Mandal Escalator Side</t>
  </si>
  <si>
    <t>Ashoka Chowk Fc Smruti</t>
  </si>
  <si>
    <t>Metro Pillar</t>
  </si>
  <si>
    <t xml:space="preserve">No's of Display Back To Back </t>
  </si>
  <si>
    <t xml:space="preserve">Rail Toli Sqr Fc Gujarati College Sqr </t>
  </si>
  <si>
    <t xml:space="preserve">Polytechnic Sqr Fc Goregaon Road  </t>
  </si>
  <si>
    <t xml:space="preserve">No's of Pillars </t>
  </si>
  <si>
    <t>Frame size</t>
  </si>
  <si>
    <t>printable Size</t>
  </si>
  <si>
    <t>36 to 28</t>
  </si>
  <si>
    <t xml:space="preserve">C.A. Road At Dosar Vaisya Square fc Agarsen sq </t>
  </si>
  <si>
    <t>C.A. Road At Mayo Hospital Fc Ramjhula (Railway Station)</t>
  </si>
  <si>
    <t xml:space="preserve">Akola </t>
  </si>
  <si>
    <t>Ashok Flyover Station Bus Stand Road Fc. Agrasan Sq.</t>
  </si>
  <si>
    <t xml:space="preserve">Ashok Flyover Station Bus Stand Road Fc. Ashok Vatika </t>
  </si>
  <si>
    <t>Wardha Road Flyover Facing Ajni</t>
  </si>
  <si>
    <t xml:space="preserve">Warora-Wani  Flyover Fc Wani </t>
  </si>
  <si>
    <t xml:space="preserve">Warora -Wani Flyover Fc Nagpur –Chandrapur Rd </t>
  </si>
  <si>
    <t>CL4</t>
  </si>
  <si>
    <t>CL5</t>
  </si>
  <si>
    <t>165 to 160</t>
  </si>
  <si>
    <t>From Pillars To Pillars</t>
  </si>
  <si>
    <t xml:space="preserve"> Locations</t>
  </si>
  <si>
    <t>Gaddigodam Sq Sadar Fc LIC Sq.</t>
  </si>
  <si>
    <t xml:space="preserve"> Nagpur Railway Metro station Sq To Traffic Police Station T-Point  (Cotton Market) </t>
  </si>
  <si>
    <t xml:space="preserve"> Traffic Police Station T-Point (Cotton Market)  to Kalpana Wine Shop.</t>
  </si>
  <si>
    <t>Kalpana Wine Shop to Cotton Market Sq.</t>
  </si>
  <si>
    <t>177 to 183</t>
  </si>
  <si>
    <t>184 to 194</t>
  </si>
  <si>
    <t>Jhansi Rani Sq. to VIBGYOR World Academy</t>
  </si>
  <si>
    <t>292 TO 282</t>
  </si>
  <si>
    <t>281 to 272</t>
  </si>
  <si>
    <t>Swami Vivekanand Smarak to Subhash Nagar T-Point</t>
  </si>
  <si>
    <t>Subhash Nagar T point. To Subash Nagar Metro Station</t>
  </si>
  <si>
    <t xml:space="preserve"> Subash Nagar Metro Station to LOTOS Bunglow</t>
  </si>
  <si>
    <t>LOTOS Bunglow to Breakfast story</t>
  </si>
  <si>
    <t>159 to 156</t>
  </si>
  <si>
    <t>155 to 151</t>
  </si>
  <si>
    <t>150 to 146</t>
  </si>
  <si>
    <t>144 to 137</t>
  </si>
  <si>
    <t xml:space="preserve">F.D.C.M. Bhawan Sq. to Umredkar Saoji </t>
  </si>
  <si>
    <t>136 to 132</t>
  </si>
  <si>
    <t>Umredkar Saoji to Vision Academy</t>
  </si>
  <si>
    <t>131 to 128</t>
  </si>
  <si>
    <t>Vision Academy to House of Johnson</t>
  </si>
  <si>
    <t>127 to 124</t>
  </si>
  <si>
    <t>House of Johnson to Hingna T- Point</t>
  </si>
  <si>
    <t>123 to 120</t>
  </si>
  <si>
    <t>Front Of Distric Centre Bank Irvin Sq. fc Girls High School Sq.</t>
  </si>
  <si>
    <t xml:space="preserve">Polytechnic Sqr Fc Jaistambha Sqr </t>
  </si>
  <si>
    <t>Wardha Road, Near Hotel Airport Centre Point fc Airport</t>
  </si>
  <si>
    <t>Modi hospital Badnera fc Badnera railway station</t>
  </si>
  <si>
    <t>Chatrapati Square Fc Narendra Nagar Bridge Towards Khamla sqr (Left)</t>
  </si>
  <si>
    <t>rate per Pillars</t>
  </si>
  <si>
    <t>VIBGYOR World Academy to University library SQ.</t>
  </si>
  <si>
    <t>Rate per Pillars</t>
  </si>
  <si>
    <t>warora</t>
  </si>
  <si>
    <t>Dadasaheb Khaparde ComplexRajkaml Sq. Fc Rajapeth</t>
  </si>
  <si>
    <t>Bus Stand ROB Fc Priyadrashni Sq. (Left)</t>
  </si>
  <si>
    <t>Bus Stand ROB Fc Priyadrashni Sq. (Right)</t>
  </si>
  <si>
    <t>Irai Bridge Fc Nagpur Road</t>
  </si>
  <si>
    <t>Irai Bridge Fc Chandrapur City (Left)</t>
  </si>
  <si>
    <t>Irai Bridge Fc Chandrapur City ( Right)</t>
  </si>
  <si>
    <t xml:space="preserve">Agency Rate </t>
  </si>
  <si>
    <t>`</t>
  </si>
  <si>
    <t>Chatrapati Square Fc Narendra Nagar Bridge Towards Khamla sqr (Right)</t>
  </si>
  <si>
    <t>12  to 02</t>
  </si>
  <si>
    <t>Hingna T-Point Sq.  (Priyadarshani Girls Hostel) to True Value Maruti Sq.)</t>
  </si>
  <si>
    <t>DN 25 To 173</t>
  </si>
  <si>
    <t>Railway Station Ganesh Tekadi Mandir Road fc Manas Chowk</t>
  </si>
  <si>
    <t>Commercial &amp; High Traffic Area, Main Railway Junction,hospital, retail market, Ganesh Tekadi</t>
  </si>
  <si>
    <t>Re+L:Ogion</t>
  </si>
  <si>
    <t>Bhagat Sq. at HP Petrol Pump  to  Wadi Bypass Sq. (Hingna T Point)</t>
  </si>
  <si>
    <t>Lokmanya Nagar to Rai Town Society</t>
  </si>
  <si>
    <t xml:space="preserve">Gadge Nagar Sq. to Vasudeo Nagar Sq. </t>
  </si>
  <si>
    <t>Pardhi Nagar before Jalaram manganlam Complex to Mahindra and Mahindra Company Main Gate</t>
  </si>
  <si>
    <t xml:space="preserve">G. H. Raisoni Vidyaniketan School Sq. to F.D.C.M. Bhawan Sq. </t>
  </si>
  <si>
    <t xml:space="preserve">Dharampeth Sq. to Shankar Nagar Sq. </t>
  </si>
  <si>
    <t>L.A.D. College Sq. to Gandhi Nagar Sq.</t>
  </si>
  <si>
    <t>Airport Metro Station. (:30 Sec Multiple Ads Rotation Every 4 Min.)</t>
  </si>
  <si>
    <t>Laxmi bhawan Fc Shankar Nagar</t>
  </si>
  <si>
    <t>Variety Sq. To Munje Sq</t>
  </si>
  <si>
    <t xml:space="preserve">Sadar Flyover Fc  Zero Mile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</si>
</sst>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d/mmm/yy;@"/>
    <numFmt numFmtId="166" formatCode="dd/mm/yyyy;@"/>
    <numFmt numFmtId="167" formatCode="0.000000"/>
    <numFmt numFmtId="168" formatCode="0.0"/>
    <numFmt numFmtId="169" formatCode="0.0000"/>
  </numFmts>
  <fonts count="20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.5"/>
      <name val="Bookman Old Style"/>
      <family val="1"/>
    </font>
    <font>
      <sz val="12.5"/>
      <name val="Bookman Old Style"/>
      <family val="1"/>
    </font>
    <font>
      <b/>
      <sz val="12.5"/>
      <color theme="4"/>
      <name val="Bookman Old Style"/>
      <family val="1"/>
    </font>
    <font>
      <sz val="11"/>
      <color rgb="FFFF3300"/>
      <name val="Calibri"/>
      <family val="2"/>
      <scheme val="minor"/>
    </font>
    <font>
      <b/>
      <sz val="12.5"/>
      <color theme="1"/>
      <name val="Bookman Old Style"/>
      <family val="1"/>
    </font>
    <font>
      <sz val="12.5"/>
      <color theme="1"/>
      <name val="Bookman Old Style"/>
      <family val="1"/>
    </font>
    <font>
      <b/>
      <sz val="12"/>
      <color theme="1"/>
      <name val="Arial"/>
      <family val="2"/>
    </font>
    <font>
      <sz val="12.5"/>
      <color rgb="FFFF3300"/>
      <name val="Bookman Old Style"/>
      <family val="1"/>
    </font>
    <font>
      <sz val="12.5"/>
      <color rgb="FFFF0000"/>
      <name val="Bookman Old Style"/>
      <family val="1"/>
    </font>
    <font>
      <b/>
      <sz val="12.5"/>
      <color rgb="FFFF0000"/>
      <name val="Bookman Old Style"/>
      <family val="1"/>
    </font>
    <font>
      <sz val="12.5"/>
      <color rgb="FF00B0F0"/>
      <name val="Bookman Old Style"/>
      <family val="1"/>
    </font>
    <font>
      <b/>
      <sz val="12.5"/>
      <color rgb="FF00B0F0"/>
      <name val="Bookman Old Style"/>
      <family val="1"/>
    </font>
    <font>
      <b/>
      <sz val="12.5"/>
      <color rgb="FF7030A0"/>
      <name val="Bookman Old Style"/>
      <family val="1"/>
    </font>
    <font>
      <b/>
      <sz val="12.5"/>
      <color theme="3" tint="0.39994506668294322"/>
      <name val="Bookman Old Style"/>
      <family val="1"/>
    </font>
    <font>
      <b/>
      <sz val="12.5"/>
      <color theme="4" tint="-0.249977111117893"/>
      <name val="Bookman Old Style"/>
      <family val="1"/>
    </font>
    <font>
      <b/>
      <sz val="12.5"/>
      <color rgb="FFC00000"/>
      <name val="Bookman Old Style"/>
      <family val="1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Times New Roman"/>
      <family val="1"/>
    </font>
    <font>
      <b/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1"/>
      <color rgb="FF00B050"/>
      <name val="Cambria"/>
      <family val="1"/>
      <scheme val="major"/>
    </font>
    <font>
      <b/>
      <sz val="11"/>
      <color theme="1" tint="4.9989318521683403E-2"/>
      <name val="Cambria"/>
      <family val="1"/>
      <scheme val="major"/>
    </font>
    <font>
      <sz val="11"/>
      <color theme="1" tint="4.9989318521683403E-2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3" tint="0.39994506668294322"/>
      <name val="Cambria"/>
      <family val="1"/>
      <scheme val="major"/>
    </font>
    <font>
      <sz val="11"/>
      <color rgb="FF00B050"/>
      <name val="Cambria"/>
      <family val="1"/>
      <scheme val="major"/>
    </font>
    <font>
      <sz val="12"/>
      <color theme="1"/>
      <name val="Times New Roman"/>
      <family val="1"/>
    </font>
    <font>
      <sz val="11"/>
      <color theme="6"/>
      <name val="Times New Roman"/>
      <family val="1"/>
    </font>
    <font>
      <sz val="11"/>
      <color rgb="FFFF0000"/>
      <name val="Times New Roman"/>
      <family val="1"/>
    </font>
    <font>
      <sz val="11"/>
      <color theme="4"/>
      <name val="Times New Roman"/>
      <family val="1"/>
    </font>
    <font>
      <sz val="11"/>
      <color rgb="FF00B05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4"/>
      <name val="Times New Roman"/>
      <family val="1"/>
    </font>
    <font>
      <b/>
      <sz val="12"/>
      <color rgb="FF00B050"/>
      <name val="Times New Roman"/>
      <family val="1"/>
    </font>
    <font>
      <b/>
      <sz val="12"/>
      <name val="Times New Roman"/>
      <family val="1"/>
    </font>
    <font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4"/>
      <name val="Cambria"/>
      <family val="1"/>
      <scheme val="major"/>
    </font>
    <font>
      <sz val="12"/>
      <color rgb="FF00B05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2"/>
      <color rgb="FF00B050"/>
      <name val="Cambria"/>
      <family val="1"/>
      <scheme val="major"/>
    </font>
    <font>
      <sz val="12"/>
      <color theme="6"/>
      <name val="Times New Roman"/>
      <family val="1"/>
    </font>
    <font>
      <sz val="12"/>
      <color rgb="FFFF0000"/>
      <name val="Times New Roman"/>
      <family val="1"/>
    </font>
    <font>
      <sz val="12"/>
      <color theme="4"/>
      <name val="Times New Roman"/>
      <family val="1"/>
    </font>
    <font>
      <sz val="12"/>
      <color rgb="FF00B050"/>
      <name val="Times New Roman"/>
      <family val="1"/>
    </font>
    <font>
      <b/>
      <sz val="12"/>
      <color rgb="FF92D050"/>
      <name val="Cambria"/>
      <family val="1"/>
      <scheme val="major"/>
    </font>
    <font>
      <b/>
      <sz val="12"/>
      <color theme="3" tint="0.39994506668294322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1" tint="4.9989318521683403E-2"/>
      <name val="Cambria"/>
      <family val="1"/>
      <scheme val="major"/>
    </font>
    <font>
      <b/>
      <sz val="13"/>
      <color rgb="FFFF0000"/>
      <name val="Cambria"/>
      <family val="1"/>
      <scheme val="major"/>
    </font>
    <font>
      <b/>
      <sz val="13"/>
      <color rgb="FF00B050"/>
      <name val="Cambria"/>
      <family val="1"/>
      <scheme val="major"/>
    </font>
    <font>
      <b/>
      <sz val="13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2"/>
      <color rgb="FF222222"/>
      <name val="Cambria"/>
      <family val="1"/>
      <scheme val="major"/>
    </font>
    <font>
      <sz val="11"/>
      <color theme="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3" tint="0.39994506668294322"/>
      <name val="Cambria"/>
      <family val="1"/>
      <scheme val="major"/>
    </font>
    <font>
      <sz val="11"/>
      <color theme="1"/>
      <name val="Cambria"/>
      <family val="1"/>
    </font>
    <font>
      <sz val="12"/>
      <color theme="3" tint="0.39994506668294322"/>
      <name val="Cambria"/>
      <family val="1"/>
      <scheme val="major"/>
    </font>
    <font>
      <b/>
      <sz val="13"/>
      <color theme="3" tint="0.39994506668294322"/>
      <name val="Cambria"/>
      <family val="1"/>
      <scheme val="major"/>
    </font>
    <font>
      <b/>
      <sz val="14"/>
      <name val="Cambria"/>
      <family val="1"/>
      <scheme val="major"/>
    </font>
    <font>
      <sz val="14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7030A0"/>
      <name val="Cambria"/>
      <family val="1"/>
      <scheme val="major"/>
    </font>
    <font>
      <sz val="12"/>
      <color rgb="FF000000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u/>
      <sz val="11"/>
      <color rgb="FFFF0000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9900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3"/>
      <color rgb="FF000000"/>
      <name val="Cambria"/>
      <family val="1"/>
      <scheme val="major"/>
    </font>
    <font>
      <sz val="12"/>
      <color theme="1"/>
      <name val="Cambria"/>
      <family val="2"/>
      <scheme val="major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000000"/>
      <name val="Calibri Light"/>
      <family val="2"/>
    </font>
    <font>
      <b/>
      <sz val="12"/>
      <color rgb="FF000000"/>
      <name val="Calibri Light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FF0000"/>
      <name val="Cambria"/>
      <family val="1"/>
      <scheme val="maj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3"/>
      <color rgb="FF7030A0"/>
      <name val="Cambria"/>
      <family val="1"/>
      <scheme val="major"/>
    </font>
    <font>
      <b/>
      <sz val="11"/>
      <color rgb="FF2F25FB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Symbol"/>
      <family val="1"/>
      <charset val="2"/>
    </font>
    <font>
      <sz val="12"/>
      <name val="Cambria"/>
      <family val="1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color theme="9" tint="-0.249977111117893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BEB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43" fontId="153" fillId="0" borderId="0" applyFont="0" applyFill="0" applyBorder="0" applyAlignment="0" applyProtection="0"/>
    <xf numFmtId="0" fontId="153" fillId="0" borderId="0"/>
    <xf numFmtId="0" fontId="152" fillId="0" borderId="0"/>
    <xf numFmtId="0" fontId="153" fillId="0" borderId="0"/>
    <xf numFmtId="0" fontId="168" fillId="0" borderId="0"/>
    <xf numFmtId="0" fontId="86" fillId="0" borderId="0"/>
    <xf numFmtId="164" fontId="86" fillId="0" borderId="0" applyFont="0" applyFill="0" applyBorder="0" applyAlignment="0" applyProtection="0"/>
    <xf numFmtId="0" fontId="86" fillId="0" borderId="0"/>
    <xf numFmtId="0" fontId="86" fillId="0" borderId="0"/>
    <xf numFmtId="0" fontId="85" fillId="0" borderId="0"/>
    <xf numFmtId="0" fontId="82" fillId="0" borderId="0"/>
    <xf numFmtId="0" fontId="80" fillId="0" borderId="0"/>
    <xf numFmtId="0" fontId="78" fillId="0" borderId="0"/>
    <xf numFmtId="164" fontId="78" fillId="0" borderId="0" applyFont="0" applyFill="0" applyBorder="0" applyAlignment="0" applyProtection="0"/>
    <xf numFmtId="0" fontId="78" fillId="0" borderId="0"/>
    <xf numFmtId="0" fontId="38" fillId="0" borderId="0"/>
    <xf numFmtId="164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164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4" fontId="38" fillId="0" borderId="0" applyFont="0" applyFill="0" applyBorder="0" applyAlignment="0" applyProtection="0"/>
    <xf numFmtId="0" fontId="38" fillId="0" borderId="0"/>
    <xf numFmtId="0" fontId="204" fillId="0" borderId="0" applyNumberFormat="0" applyFill="0" applyBorder="0" applyAlignment="0" applyProtection="0"/>
  </cellStyleXfs>
  <cellXfs count="828">
    <xf numFmtId="0" fontId="0" fillId="0" borderId="0" xfId="0"/>
    <xf numFmtId="0" fontId="0" fillId="0" borderId="0" xfId="0" applyAlignment="1">
      <alignment wrapText="1"/>
    </xf>
    <xf numFmtId="0" fontId="90" fillId="2" borderId="2" xfId="0" applyFont="1" applyFill="1" applyBorder="1" applyAlignment="1">
      <alignment horizontal="center" vertical="center" wrapText="1"/>
    </xf>
    <xf numFmtId="0" fontId="90" fillId="2" borderId="2" xfId="0" applyFont="1" applyFill="1" applyBorder="1" applyAlignment="1">
      <alignment vertical="center" wrapText="1"/>
    </xf>
    <xf numFmtId="0" fontId="91" fillId="0" borderId="2" xfId="0" applyFont="1" applyBorder="1" applyAlignment="1">
      <alignment horizontal="center"/>
    </xf>
    <xf numFmtId="0" fontId="91" fillId="0" borderId="2" xfId="0" applyFont="1" applyBorder="1" applyAlignment="1">
      <alignment horizontal="left"/>
    </xf>
    <xf numFmtId="0" fontId="90" fillId="0" borderId="2" xfId="0" applyFont="1" applyBorder="1" applyAlignment="1">
      <alignment horizontal="right"/>
    </xf>
    <xf numFmtId="0" fontId="92" fillId="0" borderId="2" xfId="0" applyFont="1" applyBorder="1" applyAlignment="1">
      <alignment horizontal="center"/>
    </xf>
    <xf numFmtId="0" fontId="90" fillId="0" borderId="0" xfId="0" applyFont="1" applyAlignment="1">
      <alignment horizontal="right"/>
    </xf>
    <xf numFmtId="0" fontId="91" fillId="0" borderId="0" xfId="0" applyFont="1" applyAlignment="1">
      <alignment horizontal="center" wrapText="1"/>
    </xf>
    <xf numFmtId="0" fontId="90" fillId="0" borderId="2" xfId="0" applyFont="1" applyBorder="1" applyAlignment="1">
      <alignment horizontal="center"/>
    </xf>
    <xf numFmtId="0" fontId="91" fillId="0" borderId="0" xfId="0" applyFont="1" applyAlignment="1">
      <alignment horizontal="center"/>
    </xf>
    <xf numFmtId="17" fontId="91" fillId="0" borderId="2" xfId="0" applyNumberFormat="1" applyFont="1" applyBorder="1" applyAlignment="1">
      <alignment horizontal="center"/>
    </xf>
    <xf numFmtId="0" fontId="93" fillId="0" borderId="0" xfId="0" applyFont="1"/>
    <xf numFmtId="0" fontId="94" fillId="2" borderId="10" xfId="4" applyFont="1" applyFill="1" applyBorder="1" applyAlignment="1">
      <alignment horizontal="center" vertical="center"/>
    </xf>
    <xf numFmtId="0" fontId="95" fillId="0" borderId="11" xfId="4" applyFont="1" applyBorder="1" applyAlignment="1">
      <alignment vertical="center"/>
    </xf>
    <xf numFmtId="0" fontId="94" fillId="0" borderId="6" xfId="4" applyFont="1" applyBorder="1" applyAlignment="1">
      <alignment vertical="center" wrapText="1"/>
    </xf>
    <xf numFmtId="0" fontId="95" fillId="0" borderId="12" xfId="4" applyFont="1" applyBorder="1" applyAlignment="1">
      <alignment vertical="center"/>
    </xf>
    <xf numFmtId="0" fontId="95" fillId="0" borderId="13" xfId="4" applyFont="1" applyBorder="1" applyAlignment="1">
      <alignment vertical="center" wrapText="1"/>
    </xf>
    <xf numFmtId="0" fontId="95" fillId="0" borderId="7" xfId="4" applyFont="1" applyBorder="1" applyAlignment="1">
      <alignment horizontal="center" vertical="center"/>
    </xf>
    <xf numFmtId="0" fontId="96" fillId="0" borderId="0" xfId="0" applyFont="1"/>
    <xf numFmtId="0" fontId="95" fillId="0" borderId="2" xfId="4" applyFont="1" applyBorder="1" applyAlignment="1">
      <alignment horizontal="center" vertical="center"/>
    </xf>
    <xf numFmtId="0" fontId="95" fillId="0" borderId="2" xfId="2" applyFont="1" applyBorder="1" applyAlignment="1">
      <alignment horizontal="center" vertical="center" wrapText="1"/>
    </xf>
    <xf numFmtId="0" fontId="91" fillId="0" borderId="2" xfId="2" applyFont="1" applyBorder="1" applyAlignment="1">
      <alignment horizontal="center" vertical="center"/>
    </xf>
    <xf numFmtId="0" fontId="95" fillId="0" borderId="14" xfId="4" applyFont="1" applyBorder="1" applyAlignment="1">
      <alignment vertical="center"/>
    </xf>
    <xf numFmtId="0" fontId="95" fillId="0" borderId="9" xfId="4" applyFont="1" applyBorder="1" applyAlignment="1">
      <alignment vertical="center" wrapText="1"/>
    </xf>
    <xf numFmtId="0" fontId="91" fillId="0" borderId="10" xfId="2" applyFont="1" applyBorder="1" applyAlignment="1">
      <alignment horizontal="center" vertical="center"/>
    </xf>
    <xf numFmtId="0" fontId="95" fillId="0" borderId="10" xfId="2" applyFont="1" applyBorder="1" applyAlignment="1">
      <alignment horizontal="center" vertical="center" wrapText="1"/>
    </xf>
    <xf numFmtId="0" fontId="97" fillId="0" borderId="2" xfId="2" applyFont="1" applyBorder="1" applyAlignment="1">
      <alignment horizontal="center" vertical="center" wrapText="1"/>
    </xf>
    <xf numFmtId="0" fontId="95" fillId="0" borderId="10" xfId="4" applyFont="1" applyBorder="1" applyAlignment="1">
      <alignment horizontal="center" vertical="center"/>
    </xf>
    <xf numFmtId="0" fontId="95" fillId="0" borderId="7" xfId="2" applyFont="1" applyBorder="1" applyAlignment="1">
      <alignment horizontal="center" vertical="center" wrapText="1"/>
    </xf>
    <xf numFmtId="0" fontId="94" fillId="0" borderId="13" xfId="4" applyFont="1" applyBorder="1" applyAlignment="1">
      <alignment vertical="center" wrapText="1"/>
    </xf>
    <xf numFmtId="0" fontId="95" fillId="0" borderId="13" xfId="4" applyFont="1" applyBorder="1" applyAlignment="1">
      <alignment horizontal="center" vertical="center"/>
    </xf>
    <xf numFmtId="0" fontId="95" fillId="0" borderId="13" xfId="2" applyFont="1" applyBorder="1" applyAlignment="1">
      <alignment horizontal="center" vertical="center" wrapText="1"/>
    </xf>
    <xf numFmtId="0" fontId="90" fillId="0" borderId="6" xfId="4" applyFont="1" applyBorder="1" applyAlignment="1">
      <alignment vertical="center" wrapText="1"/>
    </xf>
    <xf numFmtId="0" fontId="91" fillId="0" borderId="13" xfId="4" applyFont="1" applyBorder="1" applyAlignment="1">
      <alignment vertical="center" wrapText="1"/>
    </xf>
    <xf numFmtId="0" fontId="91" fillId="0" borderId="9" xfId="4" applyFont="1" applyBorder="1" applyAlignment="1">
      <alignment vertical="center" wrapText="1"/>
    </xf>
    <xf numFmtId="0" fontId="94" fillId="0" borderId="6" xfId="4" applyFont="1" applyBorder="1" applyAlignment="1">
      <alignment vertical="center"/>
    </xf>
    <xf numFmtId="0" fontId="95" fillId="0" borderId="13" xfId="4" applyFont="1" applyBorder="1" applyAlignment="1">
      <alignment vertical="center"/>
    </xf>
    <xf numFmtId="0" fontId="94" fillId="0" borderId="6" xfId="4" applyFont="1" applyBorder="1" applyAlignment="1">
      <alignment horizontal="left" vertical="center" wrapText="1"/>
    </xf>
    <xf numFmtId="0" fontId="95" fillId="0" borderId="6" xfId="4" applyFont="1" applyBorder="1" applyAlignment="1">
      <alignment vertical="center"/>
    </xf>
    <xf numFmtId="0" fontId="95" fillId="0" borderId="6" xfId="4" applyFont="1" applyBorder="1" applyAlignment="1">
      <alignment horizontal="center" vertical="center"/>
    </xf>
    <xf numFmtId="0" fontId="95" fillId="0" borderId="6" xfId="2" applyFont="1" applyBorder="1" applyAlignment="1">
      <alignment horizontal="center" vertical="center" wrapText="1"/>
    </xf>
    <xf numFmtId="0" fontId="0" fillId="0" borderId="2" xfId="0" applyBorder="1"/>
    <xf numFmtId="0" fontId="93" fillId="0" borderId="13" xfId="0" applyFont="1" applyBorder="1"/>
    <xf numFmtId="0" fontId="97" fillId="3" borderId="9" xfId="4" applyFont="1" applyFill="1" applyBorder="1" applyAlignment="1">
      <alignment horizontal="left" vertical="center" wrapText="1"/>
    </xf>
    <xf numFmtId="0" fontId="97" fillId="3" borderId="9" xfId="4" applyFont="1" applyFill="1" applyBorder="1" applyAlignment="1">
      <alignment vertical="center"/>
    </xf>
    <xf numFmtId="0" fontId="97" fillId="3" borderId="9" xfId="4" applyFont="1" applyFill="1" applyBorder="1" applyAlignment="1">
      <alignment horizontal="center" vertical="center"/>
    </xf>
    <xf numFmtId="0" fontId="97" fillId="3" borderId="9" xfId="2" applyFont="1" applyFill="1" applyBorder="1" applyAlignment="1">
      <alignment horizontal="center" vertical="center" wrapText="1"/>
    </xf>
    <xf numFmtId="0" fontId="91" fillId="0" borderId="1" xfId="2" applyFont="1" applyBorder="1" applyAlignment="1">
      <alignment horizontal="center" vertical="center"/>
    </xf>
    <xf numFmtId="0" fontId="95" fillId="0" borderId="1" xfId="2" applyFont="1" applyBorder="1" applyAlignment="1">
      <alignment horizontal="center" vertical="center" wrapText="1"/>
    </xf>
    <xf numFmtId="0" fontId="97" fillId="0" borderId="7" xfId="2" applyFont="1" applyBorder="1" applyAlignment="1">
      <alignment horizontal="center" vertical="center" wrapText="1"/>
    </xf>
    <xf numFmtId="0" fontId="95" fillId="0" borderId="1" xfId="4" applyFont="1" applyBorder="1" applyAlignment="1">
      <alignment horizontal="center" vertical="center"/>
    </xf>
    <xf numFmtId="166" fontId="90" fillId="2" borderId="10" xfId="2" applyNumberFormat="1" applyFont="1" applyFill="1" applyBorder="1" applyAlignment="1">
      <alignment horizontal="center" vertical="center"/>
    </xf>
    <xf numFmtId="166" fontId="90" fillId="2" borderId="18" xfId="2" applyNumberFormat="1" applyFont="1" applyFill="1" applyBorder="1" applyAlignment="1">
      <alignment horizontal="center" vertical="center"/>
    </xf>
    <xf numFmtId="0" fontId="95" fillId="0" borderId="2" xfId="0" applyFont="1" applyBorder="1" applyAlignment="1">
      <alignment horizontal="left"/>
    </xf>
    <xf numFmtId="166" fontId="98" fillId="3" borderId="2" xfId="4" applyNumberFormat="1" applyFont="1" applyFill="1" applyBorder="1" applyAlignment="1">
      <alignment horizontal="center" vertical="center"/>
    </xf>
    <xf numFmtId="166" fontId="98" fillId="3" borderId="19" xfId="4" applyNumberFormat="1" applyFont="1" applyFill="1" applyBorder="1" applyAlignment="1">
      <alignment horizontal="center" vertical="center"/>
    </xf>
    <xf numFmtId="166" fontId="98" fillId="0" borderId="2" xfId="4" applyNumberFormat="1" applyFont="1" applyBorder="1" applyAlignment="1">
      <alignment horizontal="center" vertical="center"/>
    </xf>
    <xf numFmtId="166" fontId="98" fillId="0" borderId="19" xfId="4" applyNumberFormat="1" applyFont="1" applyBorder="1" applyAlignment="1">
      <alignment horizontal="center" vertical="center"/>
    </xf>
    <xf numFmtId="0" fontId="95" fillId="0" borderId="2" xfId="0" applyFont="1" applyBorder="1"/>
    <xf numFmtId="166" fontId="95" fillId="0" borderId="2" xfId="2" applyNumberFormat="1" applyFont="1" applyBorder="1" applyAlignment="1">
      <alignment horizontal="center" vertical="center"/>
    </xf>
    <xf numFmtId="166" fontId="95" fillId="0" borderId="19" xfId="2" applyNumberFormat="1" applyFont="1" applyBorder="1" applyAlignment="1">
      <alignment horizontal="center" vertical="center"/>
    </xf>
    <xf numFmtId="166" fontId="95" fillId="0" borderId="2" xfId="4" applyNumberFormat="1" applyFont="1" applyBorder="1" applyAlignment="1">
      <alignment horizontal="center" vertical="center"/>
    </xf>
    <xf numFmtId="166" fontId="95" fillId="0" borderId="19" xfId="4" applyNumberFormat="1" applyFont="1" applyBorder="1" applyAlignment="1">
      <alignment horizontal="center" vertical="center"/>
    </xf>
    <xf numFmtId="166" fontId="95" fillId="0" borderId="10" xfId="2" applyNumberFormat="1" applyFont="1" applyBorder="1" applyAlignment="1">
      <alignment horizontal="center" vertical="center"/>
    </xf>
    <xf numFmtId="166" fontId="95" fillId="0" borderId="18" xfId="2" applyNumberFormat="1" applyFont="1" applyBorder="1" applyAlignment="1">
      <alignment horizontal="center" vertical="center"/>
    </xf>
    <xf numFmtId="166" fontId="98" fillId="0" borderId="7" xfId="2" applyNumberFormat="1" applyFont="1" applyBorder="1" applyAlignment="1">
      <alignment horizontal="center" vertical="center"/>
    </xf>
    <xf numFmtId="166" fontId="98" fillId="0" borderId="17" xfId="2" applyNumberFormat="1" applyFont="1" applyBorder="1" applyAlignment="1">
      <alignment horizontal="center" vertical="center"/>
    </xf>
    <xf numFmtId="0" fontId="97" fillId="0" borderId="2" xfId="0" applyFont="1" applyBorder="1"/>
    <xf numFmtId="166" fontId="95" fillId="3" borderId="10" xfId="4" applyNumberFormat="1" applyFont="1" applyFill="1" applyBorder="1" applyAlignment="1">
      <alignment horizontal="center" vertical="center"/>
    </xf>
    <xf numFmtId="166" fontId="95" fillId="3" borderId="18" xfId="4" applyNumberFormat="1" applyFont="1" applyFill="1" applyBorder="1" applyAlignment="1">
      <alignment horizontal="center" vertical="center"/>
    </xf>
    <xf numFmtId="166" fontId="95" fillId="0" borderId="10" xfId="4" applyNumberFormat="1" applyFont="1" applyBorder="1" applyAlignment="1">
      <alignment horizontal="center" vertical="center"/>
    </xf>
    <xf numFmtId="166" fontId="95" fillId="0" borderId="18" xfId="4" applyNumberFormat="1" applyFont="1" applyBorder="1" applyAlignment="1">
      <alignment horizontal="center" vertical="center"/>
    </xf>
    <xf numFmtId="166" fontId="95" fillId="0" borderId="7" xfId="4" applyNumberFormat="1" applyFont="1" applyBorder="1" applyAlignment="1">
      <alignment horizontal="center" vertical="center"/>
    </xf>
    <xf numFmtId="166" fontId="95" fillId="0" borderId="17" xfId="4" applyNumberFormat="1" applyFont="1" applyBorder="1" applyAlignment="1">
      <alignment horizontal="center" vertical="center"/>
    </xf>
    <xf numFmtId="165" fontId="95" fillId="0" borderId="19" xfId="4" applyNumberFormat="1" applyFont="1" applyBorder="1" applyAlignment="1">
      <alignment horizontal="center" vertical="center"/>
    </xf>
    <xf numFmtId="166" fontId="95" fillId="0" borderId="13" xfId="4" applyNumberFormat="1" applyFont="1" applyBorder="1" applyAlignment="1">
      <alignment horizontal="center" vertical="center"/>
    </xf>
    <xf numFmtId="166" fontId="95" fillId="0" borderId="20" xfId="4" applyNumberFormat="1" applyFont="1" applyBorder="1" applyAlignment="1">
      <alignment horizontal="center" vertical="center"/>
    </xf>
    <xf numFmtId="166" fontId="95" fillId="0" borderId="6" xfId="4" applyNumberFormat="1" applyFont="1" applyBorder="1" applyAlignment="1">
      <alignment horizontal="center" vertical="center"/>
    </xf>
    <xf numFmtId="166" fontId="95" fillId="0" borderId="21" xfId="4" applyNumberFormat="1" applyFont="1" applyBorder="1" applyAlignment="1">
      <alignment horizontal="center" vertical="center"/>
    </xf>
    <xf numFmtId="0" fontId="93" fillId="0" borderId="4" xfId="0" applyFont="1" applyBorder="1"/>
    <xf numFmtId="166" fontId="97" fillId="3" borderId="9" xfId="2" applyNumberFormat="1" applyFont="1" applyFill="1" applyBorder="1" applyAlignment="1">
      <alignment horizontal="center" vertical="center"/>
    </xf>
    <xf numFmtId="166" fontId="97" fillId="0" borderId="22" xfId="2" applyNumberFormat="1" applyFont="1" applyBorder="1" applyAlignment="1">
      <alignment horizontal="center" vertical="center"/>
    </xf>
    <xf numFmtId="0" fontId="97" fillId="0" borderId="2" xfId="0" applyFont="1" applyBorder="1" applyAlignment="1">
      <alignment horizontal="left"/>
    </xf>
    <xf numFmtId="166" fontId="97" fillId="0" borderId="2" xfId="4" applyNumberFormat="1" applyFont="1" applyBorder="1" applyAlignment="1">
      <alignment horizontal="center" vertical="center"/>
    </xf>
    <xf numFmtId="166" fontId="97" fillId="0" borderId="19" xfId="4" applyNumberFormat="1" applyFont="1" applyBorder="1" applyAlignment="1">
      <alignment horizontal="center" vertical="center"/>
    </xf>
    <xf numFmtId="0" fontId="95" fillId="0" borderId="2" xfId="2" applyFont="1" applyBorder="1" applyAlignment="1">
      <alignment horizontal="center" vertical="center"/>
    </xf>
    <xf numFmtId="0" fontId="95" fillId="0" borderId="19" xfId="2" applyFont="1" applyBorder="1" applyAlignment="1">
      <alignment horizontal="center" vertical="center"/>
    </xf>
    <xf numFmtId="0" fontId="95" fillId="0" borderId="1" xfId="2" applyFont="1" applyBorder="1" applyAlignment="1">
      <alignment horizontal="center" vertical="center"/>
    </xf>
    <xf numFmtId="0" fontId="95" fillId="0" borderId="23" xfId="2" applyFont="1" applyBorder="1" applyAlignment="1">
      <alignment horizontal="center" vertical="center"/>
    </xf>
    <xf numFmtId="0" fontId="95" fillId="0" borderId="10" xfId="2" applyFont="1" applyBorder="1" applyAlignment="1">
      <alignment horizontal="center" vertical="center"/>
    </xf>
    <xf numFmtId="0" fontId="95" fillId="0" borderId="18" xfId="2" applyFont="1" applyBorder="1" applyAlignment="1">
      <alignment horizontal="center" vertical="center"/>
    </xf>
    <xf numFmtId="166" fontId="97" fillId="0" borderId="7" xfId="2" applyNumberFormat="1" applyFont="1" applyBorder="1" applyAlignment="1">
      <alignment horizontal="center" vertical="center"/>
    </xf>
    <xf numFmtId="166" fontId="97" fillId="0" borderId="17" xfId="2" applyNumberFormat="1" applyFont="1" applyBorder="1" applyAlignment="1">
      <alignment horizontal="center" vertical="center"/>
    </xf>
    <xf numFmtId="14" fontId="95" fillId="0" borderId="2" xfId="0" applyNumberFormat="1" applyFont="1" applyBorder="1" applyAlignment="1">
      <alignment horizontal="center"/>
    </xf>
    <xf numFmtId="14" fontId="95" fillId="0" borderId="19" xfId="0" applyNumberFormat="1" applyFont="1" applyBorder="1" applyAlignment="1">
      <alignment horizontal="center"/>
    </xf>
    <xf numFmtId="166" fontId="97" fillId="0" borderId="2" xfId="2" applyNumberFormat="1" applyFont="1" applyBorder="1" applyAlignment="1">
      <alignment horizontal="center" vertical="center"/>
    </xf>
    <xf numFmtId="166" fontId="97" fillId="0" borderId="19" xfId="2" applyNumberFormat="1" applyFont="1" applyBorder="1" applyAlignment="1">
      <alignment horizontal="center" vertical="center"/>
    </xf>
    <xf numFmtId="166" fontId="94" fillId="0" borderId="2" xfId="2" applyNumberFormat="1" applyFont="1" applyBorder="1" applyAlignment="1">
      <alignment horizontal="center" vertical="center"/>
    </xf>
    <xf numFmtId="166" fontId="95" fillId="0" borderId="1" xfId="4" applyNumberFormat="1" applyFont="1" applyBorder="1" applyAlignment="1">
      <alignment horizontal="center" vertical="center"/>
    </xf>
    <xf numFmtId="166" fontId="95" fillId="0" borderId="23" xfId="4" applyNumberFormat="1" applyFont="1" applyBorder="1" applyAlignment="1">
      <alignment horizontal="center" vertical="center"/>
    </xf>
    <xf numFmtId="166" fontId="95" fillId="0" borderId="24" xfId="4" applyNumberFormat="1" applyFont="1" applyBorder="1" applyAlignment="1">
      <alignment horizontal="center" vertical="center"/>
    </xf>
    <xf numFmtId="0" fontId="90" fillId="0" borderId="6" xfId="2" applyFont="1" applyBorder="1" applyAlignment="1">
      <alignment vertical="center" wrapText="1"/>
    </xf>
    <xf numFmtId="0" fontId="91" fillId="0" borderId="7" xfId="2" applyFont="1" applyBorder="1" applyAlignment="1">
      <alignment horizontal="center" vertical="center"/>
    </xf>
    <xf numFmtId="0" fontId="91" fillId="0" borderId="13" xfId="2" applyFont="1" applyBorder="1" applyAlignment="1">
      <alignment vertical="center" wrapText="1"/>
    </xf>
    <xf numFmtId="0" fontId="91" fillId="0" borderId="3" xfId="2" applyFont="1" applyBorder="1" applyAlignment="1">
      <alignment horizontal="center" vertical="center"/>
    </xf>
    <xf numFmtId="0" fontId="95" fillId="0" borderId="3" xfId="2" applyFont="1" applyBorder="1" applyAlignment="1">
      <alignment horizontal="center" vertical="center" wrapText="1"/>
    </xf>
    <xf numFmtId="0" fontId="91" fillId="0" borderId="9" xfId="2" applyFont="1" applyBorder="1" applyAlignment="1">
      <alignment vertical="center" wrapText="1"/>
    </xf>
    <xf numFmtId="0" fontId="90" fillId="0" borderId="26" xfId="2" applyFont="1" applyBorder="1" applyAlignment="1">
      <alignment horizontal="left" vertical="center" wrapText="1"/>
    </xf>
    <xf numFmtId="0" fontId="95" fillId="0" borderId="26" xfId="4" applyFont="1" applyBorder="1" applyAlignment="1">
      <alignment horizontal="center" vertical="center"/>
    </xf>
    <xf numFmtId="0" fontId="91" fillId="0" borderId="26" xfId="2" applyFont="1" applyBorder="1" applyAlignment="1">
      <alignment horizontal="center" vertical="center"/>
    </xf>
    <xf numFmtId="0" fontId="97" fillId="0" borderId="26" xfId="2" applyFont="1" applyBorder="1" applyAlignment="1">
      <alignment horizontal="center" vertical="center" wrapText="1"/>
    </xf>
    <xf numFmtId="0" fontId="91" fillId="0" borderId="6" xfId="2" applyFont="1" applyBorder="1" applyAlignment="1">
      <alignment horizontal="center" vertical="center"/>
    </xf>
    <xf numFmtId="0" fontId="91" fillId="0" borderId="13" xfId="2" applyFont="1" applyBorder="1" applyAlignment="1">
      <alignment horizontal="center" vertical="center"/>
    </xf>
    <xf numFmtId="0" fontId="91" fillId="0" borderId="9" xfId="2" applyFont="1" applyBorder="1" applyAlignment="1">
      <alignment horizontal="center" vertical="center"/>
    </xf>
    <xf numFmtId="0" fontId="91" fillId="0" borderId="28" xfId="2" applyFont="1" applyBorder="1" applyAlignment="1">
      <alignment horizontal="center" vertical="center"/>
    </xf>
    <xf numFmtId="0" fontId="94" fillId="0" borderId="26" xfId="2" applyFont="1" applyBorder="1" applyAlignment="1">
      <alignment horizontal="left" vertical="center" wrapText="1"/>
    </xf>
    <xf numFmtId="0" fontId="91" fillId="0" borderId="26" xfId="2" applyFont="1" applyBorder="1" applyAlignment="1">
      <alignment horizontal="center" vertical="center" wrapText="1"/>
    </xf>
    <xf numFmtId="14" fontId="95" fillId="0" borderId="10" xfId="0" applyNumberFormat="1" applyFont="1" applyBorder="1" applyAlignment="1">
      <alignment horizontal="center"/>
    </xf>
    <xf numFmtId="14" fontId="95" fillId="0" borderId="18" xfId="0" applyNumberFormat="1" applyFont="1" applyBorder="1" applyAlignment="1">
      <alignment horizontal="center"/>
    </xf>
    <xf numFmtId="166" fontId="95" fillId="0" borderId="1" xfId="2" applyNumberFormat="1" applyFont="1" applyBorder="1" applyAlignment="1">
      <alignment horizontal="center" vertical="center"/>
    </xf>
    <xf numFmtId="166" fontId="95" fillId="0" borderId="23" xfId="2" applyNumberFormat="1" applyFont="1" applyBorder="1" applyAlignment="1">
      <alignment horizontal="center" vertical="center"/>
    </xf>
    <xf numFmtId="166" fontId="95" fillId="0" borderId="7" xfId="2" applyNumberFormat="1" applyFont="1" applyBorder="1" applyAlignment="1">
      <alignment horizontal="center" vertical="center"/>
    </xf>
    <xf numFmtId="166" fontId="95" fillId="0" borderId="17" xfId="2" applyNumberFormat="1" applyFont="1" applyBorder="1" applyAlignment="1">
      <alignment horizontal="center" vertical="center"/>
    </xf>
    <xf numFmtId="166" fontId="98" fillId="0" borderId="2" xfId="2" applyNumberFormat="1" applyFont="1" applyBorder="1" applyAlignment="1">
      <alignment horizontal="center" vertical="center"/>
    </xf>
    <xf numFmtId="166" fontId="98" fillId="0" borderId="19" xfId="2" applyNumberFormat="1" applyFont="1" applyBorder="1" applyAlignment="1">
      <alignment horizontal="center" vertical="center"/>
    </xf>
    <xf numFmtId="166" fontId="97" fillId="0" borderId="26" xfId="4" applyNumberFormat="1" applyFont="1" applyBorder="1" applyAlignment="1">
      <alignment horizontal="center" vertical="center"/>
    </xf>
    <xf numFmtId="166" fontId="97" fillId="0" borderId="29" xfId="4" applyNumberFormat="1" applyFont="1" applyBorder="1" applyAlignment="1">
      <alignment horizontal="center" vertical="center"/>
    </xf>
    <xf numFmtId="166" fontId="95" fillId="0" borderId="3" xfId="2" applyNumberFormat="1" applyFont="1" applyBorder="1" applyAlignment="1">
      <alignment horizontal="center" vertical="center"/>
    </xf>
    <xf numFmtId="166" fontId="95" fillId="0" borderId="30" xfId="2" applyNumberFormat="1" applyFont="1" applyBorder="1" applyAlignment="1">
      <alignment horizontal="center" vertical="center"/>
    </xf>
    <xf numFmtId="166" fontId="91" fillId="0" borderId="26" xfId="2" applyNumberFormat="1" applyFont="1" applyBorder="1" applyAlignment="1">
      <alignment horizontal="center" vertical="center"/>
    </xf>
    <xf numFmtId="166" fontId="91" fillId="0" borderId="29" xfId="2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top" wrapText="1"/>
    </xf>
    <xf numFmtId="0" fontId="94" fillId="2" borderId="2" xfId="4" applyFont="1" applyFill="1" applyBorder="1" applyAlignment="1">
      <alignment horizontal="center" vertical="top" wrapText="1"/>
    </xf>
    <xf numFmtId="0" fontId="94" fillId="0" borderId="2" xfId="4" applyFont="1" applyBorder="1" applyAlignment="1">
      <alignment horizontal="center" vertical="top" wrapText="1"/>
    </xf>
    <xf numFmtId="0" fontId="95" fillId="0" borderId="2" xfId="4" applyFont="1" applyBorder="1" applyAlignment="1">
      <alignment horizontal="center" vertical="top" wrapText="1"/>
    </xf>
    <xf numFmtId="0" fontId="95" fillId="0" borderId="2" xfId="0" applyFont="1" applyBorder="1" applyAlignment="1">
      <alignment horizontal="center" vertical="top" wrapText="1"/>
    </xf>
    <xf numFmtId="0" fontId="90" fillId="2" borderId="2" xfId="0" applyFont="1" applyFill="1" applyBorder="1" applyAlignment="1">
      <alignment horizontal="center" vertical="top" wrapText="1"/>
    </xf>
    <xf numFmtId="165" fontId="94" fillId="2" borderId="2" xfId="4" applyNumberFormat="1" applyFont="1" applyFill="1" applyBorder="1" applyAlignment="1">
      <alignment horizontal="center" vertical="top" wrapText="1"/>
    </xf>
    <xf numFmtId="165" fontId="94" fillId="0" borderId="2" xfId="4" applyNumberFormat="1" applyFont="1" applyBorder="1" applyAlignment="1">
      <alignment horizontal="center" vertical="top" wrapText="1"/>
    </xf>
    <xf numFmtId="0" fontId="99" fillId="0" borderId="2" xfId="4" applyFont="1" applyBorder="1" applyAlignment="1">
      <alignment horizontal="center" vertical="top" wrapText="1"/>
    </xf>
    <xf numFmtId="165" fontId="99" fillId="0" borderId="2" xfId="4" applyNumberFormat="1" applyFont="1" applyBorder="1" applyAlignment="1">
      <alignment horizontal="center" vertical="top" wrapText="1"/>
    </xf>
    <xf numFmtId="165" fontId="95" fillId="0" borderId="2" xfId="0" applyNumberFormat="1" applyFont="1" applyBorder="1" applyAlignment="1">
      <alignment horizontal="center" vertical="top" wrapText="1"/>
    </xf>
    <xf numFmtId="0" fontId="91" fillId="0" borderId="2" xfId="0" applyFont="1" applyBorder="1" applyAlignment="1">
      <alignment horizontal="center" vertical="top" wrapText="1"/>
    </xf>
    <xf numFmtId="165" fontId="98" fillId="0" borderId="2" xfId="0" applyNumberFormat="1" applyFont="1" applyBorder="1" applyAlignment="1">
      <alignment horizontal="center" vertical="top" wrapText="1"/>
    </xf>
    <xf numFmtId="165" fontId="91" fillId="0" borderId="2" xfId="0" applyNumberFormat="1" applyFont="1" applyBorder="1" applyAlignment="1">
      <alignment horizontal="center" vertical="top" wrapText="1"/>
    </xf>
    <xf numFmtId="0" fontId="94" fillId="0" borderId="2" xfId="0" applyFont="1" applyBorder="1" applyAlignment="1">
      <alignment horizontal="center" vertical="top" wrapText="1"/>
    </xf>
    <xf numFmtId="0" fontId="100" fillId="0" borderId="2" xfId="4" applyFont="1" applyBorder="1" applyAlignment="1">
      <alignment horizontal="center" vertical="top" wrapText="1"/>
    </xf>
    <xf numFmtId="165" fontId="101" fillId="0" borderId="2" xfId="0" applyNumberFormat="1" applyFont="1" applyBorder="1" applyAlignment="1">
      <alignment horizontal="center" vertical="top" wrapText="1"/>
    </xf>
    <xf numFmtId="0" fontId="101" fillId="0" borderId="2" xfId="4" applyFont="1" applyBorder="1" applyAlignment="1">
      <alignment horizontal="center" vertical="top" wrapText="1"/>
    </xf>
    <xf numFmtId="0" fontId="102" fillId="0" borderId="2" xfId="4" applyFont="1" applyBorder="1" applyAlignment="1">
      <alignment horizontal="center" vertical="top" wrapText="1"/>
    </xf>
    <xf numFmtId="166" fontId="91" fillId="0" borderId="2" xfId="4" applyNumberFormat="1" applyFont="1" applyBorder="1" applyAlignment="1">
      <alignment horizontal="center" vertical="top" wrapText="1"/>
    </xf>
    <xf numFmtId="0" fontId="103" fillId="0" borderId="2" xfId="4" applyFont="1" applyBorder="1" applyAlignment="1">
      <alignment horizontal="center" vertical="top" wrapText="1"/>
    </xf>
    <xf numFmtId="0" fontId="91" fillId="0" borderId="2" xfId="4" applyFont="1" applyBorder="1" applyAlignment="1">
      <alignment horizontal="center" vertical="top" wrapText="1"/>
    </xf>
    <xf numFmtId="0" fontId="90" fillId="0" borderId="2" xfId="4" applyFont="1" applyBorder="1" applyAlignment="1">
      <alignment horizontal="center" vertical="top" wrapText="1"/>
    </xf>
    <xf numFmtId="14" fontId="95" fillId="0" borderId="2" xfId="4" applyNumberFormat="1" applyFont="1" applyBorder="1" applyAlignment="1">
      <alignment horizontal="center" vertical="top" wrapText="1"/>
    </xf>
    <xf numFmtId="0" fontId="104" fillId="0" borderId="2" xfId="4" applyFont="1" applyBorder="1" applyAlignment="1">
      <alignment horizontal="center" vertical="top" wrapText="1"/>
    </xf>
    <xf numFmtId="14" fontId="105" fillId="0" borderId="2" xfId="4" applyNumberFormat="1" applyFont="1" applyBorder="1" applyAlignment="1">
      <alignment horizontal="center" vertical="top" wrapText="1"/>
    </xf>
    <xf numFmtId="0" fontId="91" fillId="0" borderId="2" xfId="0" applyFont="1" applyBorder="1" applyAlignment="1">
      <alignment horizontal="center" vertical="center" wrapText="1"/>
    </xf>
    <xf numFmtId="0" fontId="98" fillId="0" borderId="2" xfId="4" applyFont="1" applyBorder="1" applyAlignment="1">
      <alignment horizontal="center" vertical="top" wrapText="1"/>
    </xf>
    <xf numFmtId="0" fontId="105" fillId="0" borderId="2" xfId="4" applyFont="1" applyBorder="1" applyAlignment="1">
      <alignment horizontal="center" vertical="top" wrapText="1"/>
    </xf>
    <xf numFmtId="165" fontId="105" fillId="0" borderId="2" xfId="0" applyNumberFormat="1" applyFont="1" applyBorder="1" applyAlignment="1">
      <alignment horizontal="center" vertical="top" wrapText="1"/>
    </xf>
    <xf numFmtId="14" fontId="102" fillId="0" borderId="2" xfId="4" applyNumberFormat="1" applyFont="1" applyBorder="1" applyAlignment="1">
      <alignment horizontal="center" vertical="top" wrapText="1"/>
    </xf>
    <xf numFmtId="165" fontId="102" fillId="0" borderId="2" xfId="0" applyNumberFormat="1" applyFont="1" applyBorder="1" applyAlignment="1">
      <alignment horizontal="center" vertical="top" wrapText="1"/>
    </xf>
    <xf numFmtId="165" fontId="91" fillId="0" borderId="2" xfId="0" applyNumberFormat="1" applyFont="1" applyBorder="1" applyAlignment="1">
      <alignment horizontal="center" vertical="center" wrapText="1"/>
    </xf>
    <xf numFmtId="0" fontId="107" fillId="0" borderId="0" xfId="0" applyFont="1"/>
    <xf numFmtId="0" fontId="109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 wrapText="1"/>
    </xf>
    <xf numFmtId="0" fontId="108" fillId="5" borderId="2" xfId="0" applyFont="1" applyFill="1" applyBorder="1" applyAlignment="1">
      <alignment horizontal="center" vertical="center" wrapText="1"/>
    </xf>
    <xf numFmtId="0" fontId="109" fillId="0" borderId="2" xfId="0" applyFont="1" applyBorder="1" applyAlignment="1">
      <alignment horizontal="center" vertical="center"/>
    </xf>
    <xf numFmtId="0" fontId="109" fillId="0" borderId="2" xfId="0" applyFont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09" fillId="0" borderId="0" xfId="0" applyFont="1" applyAlignment="1">
      <alignment vertical="center" wrapText="1"/>
    </xf>
    <xf numFmtId="0" fontId="110" fillId="0" borderId="0" xfId="0" applyFont="1" applyAlignment="1">
      <alignment vertical="center"/>
    </xf>
    <xf numFmtId="0" fontId="115" fillId="5" borderId="1" xfId="0" applyFont="1" applyFill="1" applyBorder="1" applyAlignment="1">
      <alignment horizontal="center" vertical="center" wrapText="1"/>
    </xf>
    <xf numFmtId="0" fontId="115" fillId="5" borderId="1" xfId="0" applyFont="1" applyFill="1" applyBorder="1" applyAlignment="1">
      <alignment horizontal="center" vertical="center"/>
    </xf>
    <xf numFmtId="0" fontId="115" fillId="5" borderId="2" xfId="0" applyFont="1" applyFill="1" applyBorder="1" applyAlignment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2" fillId="0" borderId="2" xfId="0" applyFont="1" applyBorder="1" applyAlignment="1">
      <alignment horizontal="right" vertical="center"/>
    </xf>
    <xf numFmtId="0" fontId="112" fillId="0" borderId="2" xfId="0" applyFont="1" applyBorder="1" applyAlignment="1">
      <alignment horizontal="right" vertical="center" wrapText="1"/>
    </xf>
    <xf numFmtId="0" fontId="117" fillId="5" borderId="1" xfId="0" applyFont="1" applyFill="1" applyBorder="1" applyAlignment="1">
      <alignment horizontal="center" vertical="center"/>
    </xf>
    <xf numFmtId="0" fontId="114" fillId="5" borderId="1" xfId="0" applyFont="1" applyFill="1" applyBorder="1" applyAlignment="1">
      <alignment horizontal="center" vertical="center" wrapText="1"/>
    </xf>
    <xf numFmtId="49" fontId="118" fillId="5" borderId="2" xfId="0" applyNumberFormat="1" applyFont="1" applyFill="1" applyBorder="1" applyAlignment="1">
      <alignment vertical="center"/>
    </xf>
    <xf numFmtId="0" fontId="118" fillId="5" borderId="2" xfId="0" applyFont="1" applyFill="1" applyBorder="1" applyAlignment="1">
      <alignment vertical="center"/>
    </xf>
    <xf numFmtId="0" fontId="116" fillId="0" borderId="32" xfId="0" applyFont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49" fontId="110" fillId="0" borderId="2" xfId="0" applyNumberFormat="1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 wrapText="1"/>
    </xf>
    <xf numFmtId="17" fontId="109" fillId="0" borderId="2" xfId="0" applyNumberFormat="1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 wrapText="1"/>
    </xf>
    <xf numFmtId="0" fontId="110" fillId="0" borderId="0" xfId="0" applyFont="1" applyAlignment="1">
      <alignment horizontal="left" vertical="center"/>
    </xf>
    <xf numFmtId="0" fontId="121" fillId="0" borderId="0" xfId="0" applyFont="1" applyAlignment="1">
      <alignment vertical="center" wrapText="1"/>
    </xf>
    <xf numFmtId="0" fontId="107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21" fillId="0" borderId="0" xfId="0" applyFont="1" applyAlignment="1">
      <alignment vertical="center"/>
    </xf>
    <xf numFmtId="0" fontId="111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0" fontId="124" fillId="0" borderId="0" xfId="0" applyFont="1" applyAlignment="1">
      <alignment vertical="center"/>
    </xf>
    <xf numFmtId="0" fontId="125" fillId="0" borderId="0" xfId="0" applyFont="1" applyAlignment="1">
      <alignment vertical="center"/>
    </xf>
    <xf numFmtId="0" fontId="111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26" fillId="5" borderId="2" xfId="0" applyFont="1" applyFill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7" fillId="0" borderId="2" xfId="0" applyFont="1" applyBorder="1" applyAlignment="1">
      <alignment horizontal="left" vertical="center" wrapText="1"/>
    </xf>
    <xf numFmtId="0" fontId="106" fillId="0" borderId="31" xfId="0" applyFont="1" applyBorder="1" applyAlignment="1">
      <alignment vertical="center"/>
    </xf>
    <xf numFmtId="0" fontId="106" fillId="0" borderId="33" xfId="0" applyFont="1" applyBorder="1" applyAlignment="1">
      <alignment vertical="center"/>
    </xf>
    <xf numFmtId="0" fontId="106" fillId="0" borderId="2" xfId="0" applyFont="1" applyBorder="1" applyAlignment="1">
      <alignment vertical="center"/>
    </xf>
    <xf numFmtId="49" fontId="106" fillId="5" borderId="2" xfId="0" applyNumberFormat="1" applyFont="1" applyFill="1" applyBorder="1" applyAlignment="1">
      <alignment vertical="center"/>
    </xf>
    <xf numFmtId="0" fontId="106" fillId="5" borderId="2" xfId="0" applyFont="1" applyFill="1" applyBorder="1" applyAlignment="1">
      <alignment vertical="center"/>
    </xf>
    <xf numFmtId="0" fontId="127" fillId="5" borderId="2" xfId="0" applyFont="1" applyFill="1" applyBorder="1" applyAlignment="1">
      <alignment horizontal="center" vertical="center" wrapText="1"/>
    </xf>
    <xf numFmtId="0" fontId="128" fillId="5" borderId="2" xfId="0" applyFont="1" applyFill="1" applyBorder="1" applyAlignment="1">
      <alignment horizontal="center" vertical="center" wrapText="1"/>
    </xf>
    <xf numFmtId="0" fontId="129" fillId="5" borderId="2" xfId="0" applyFont="1" applyFill="1" applyBorder="1" applyAlignment="1">
      <alignment horizontal="center" vertical="center" wrapText="1"/>
    </xf>
    <xf numFmtId="0" fontId="131" fillId="0" borderId="2" xfId="0" applyFont="1" applyBorder="1" applyAlignment="1">
      <alignment horizontal="center" vertical="center"/>
    </xf>
    <xf numFmtId="167" fontId="131" fillId="0" borderId="2" xfId="0" applyNumberFormat="1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/>
    </xf>
    <xf numFmtId="0" fontId="133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/>
    </xf>
    <xf numFmtId="0" fontId="107" fillId="0" borderId="2" xfId="0" applyFont="1" applyBorder="1" applyAlignment="1">
      <alignment vertical="center"/>
    </xf>
    <xf numFmtId="49" fontId="131" fillId="0" borderId="2" xfId="0" applyNumberFormat="1" applyFont="1" applyBorder="1" applyAlignment="1">
      <alignment horizontal="center" vertical="center"/>
    </xf>
    <xf numFmtId="0" fontId="118" fillId="0" borderId="2" xfId="0" applyFont="1" applyBorder="1" applyAlignment="1">
      <alignment horizontal="center" vertical="center"/>
    </xf>
    <xf numFmtId="0" fontId="135" fillId="0" borderId="2" xfId="0" applyFont="1" applyBorder="1" applyAlignment="1">
      <alignment vertical="center"/>
    </xf>
    <xf numFmtId="0" fontId="106" fillId="0" borderId="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0" fontId="138" fillId="0" borderId="0" xfId="0" applyFont="1" applyAlignment="1">
      <alignment vertical="center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0" fontId="121" fillId="0" borderId="0" xfId="0" applyFont="1" applyAlignment="1">
      <alignment horizontal="center" vertical="center"/>
    </xf>
    <xf numFmtId="0" fontId="131" fillId="0" borderId="2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136" fillId="0" borderId="2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113" fillId="0" borderId="2" xfId="0" applyFont="1" applyBorder="1" applyAlignment="1">
      <alignment horizontal="center" vertical="center" wrapText="1"/>
    </xf>
    <xf numFmtId="0" fontId="118" fillId="0" borderId="2" xfId="0" applyFont="1" applyBorder="1" applyAlignment="1">
      <alignment horizontal="center" vertical="center" wrapText="1"/>
    </xf>
    <xf numFmtId="0" fontId="121" fillId="0" borderId="0" xfId="0" applyFont="1" applyAlignment="1">
      <alignment horizontal="center" vertical="center" wrapText="1"/>
    </xf>
    <xf numFmtId="0" fontId="131" fillId="0" borderId="0" xfId="0" applyFont="1" applyAlignment="1">
      <alignment vertical="center"/>
    </xf>
    <xf numFmtId="0" fontId="107" fillId="0" borderId="0" xfId="0" applyFont="1" applyAlignment="1">
      <alignment vertical="center" wrapText="1"/>
    </xf>
    <xf numFmtId="0" fontId="106" fillId="5" borderId="2" xfId="0" applyFont="1" applyFill="1" applyBorder="1" applyAlignment="1">
      <alignment horizontal="center" vertical="center" wrapText="1"/>
    </xf>
    <xf numFmtId="0" fontId="110" fillId="0" borderId="2" xfId="0" applyFont="1" applyBorder="1" applyAlignment="1">
      <alignment vertical="center"/>
    </xf>
    <xf numFmtId="49" fontId="110" fillId="0" borderId="2" xfId="0" applyNumberFormat="1" applyFont="1" applyBorder="1" applyAlignment="1">
      <alignment horizontal="right" vertical="center"/>
    </xf>
    <xf numFmtId="0" fontId="143" fillId="0" borderId="0" xfId="0" applyFont="1" applyAlignment="1">
      <alignment horizontal="center" vertical="center" wrapText="1"/>
    </xf>
    <xf numFmtId="0" fontId="144" fillId="5" borderId="1" xfId="0" applyFont="1" applyFill="1" applyBorder="1" applyAlignment="1">
      <alignment horizontal="center" vertical="center" wrapText="1"/>
    </xf>
    <xf numFmtId="0" fontId="144" fillId="5" borderId="1" xfId="0" applyFont="1" applyFill="1" applyBorder="1" applyAlignment="1">
      <alignment horizontal="left" vertical="center" wrapText="1"/>
    </xf>
    <xf numFmtId="0" fontId="144" fillId="5" borderId="2" xfId="0" applyFont="1" applyFill="1" applyBorder="1" applyAlignment="1">
      <alignment horizontal="center" vertical="center" wrapText="1"/>
    </xf>
    <xf numFmtId="0" fontId="116" fillId="0" borderId="31" xfId="0" applyFont="1" applyBorder="1" applyAlignment="1">
      <alignment horizontal="center" vertical="center"/>
    </xf>
    <xf numFmtId="0" fontId="112" fillId="0" borderId="31" xfId="0" applyFont="1" applyBorder="1" applyAlignment="1">
      <alignment horizontal="center" vertical="center"/>
    </xf>
    <xf numFmtId="0" fontId="112" fillId="0" borderId="2" xfId="0" applyFont="1" applyBorder="1" applyAlignment="1">
      <alignment horizontal="left" vertical="center" wrapText="1"/>
    </xf>
    <xf numFmtId="0" fontId="109" fillId="0" borderId="0" xfId="0" applyFont="1" applyAlignment="1">
      <alignment horizontal="left" vertical="center" wrapText="1"/>
    </xf>
    <xf numFmtId="49" fontId="106" fillId="5" borderId="2" xfId="0" applyNumberFormat="1" applyFont="1" applyFill="1" applyBorder="1" applyAlignment="1">
      <alignment horizontal="center" vertical="center"/>
    </xf>
    <xf numFmtId="0" fontId="106" fillId="5" borderId="2" xfId="0" applyFont="1" applyFill="1" applyBorder="1" applyAlignment="1">
      <alignment horizontal="center" vertical="center"/>
    </xf>
    <xf numFmtId="0" fontId="145" fillId="5" borderId="1" xfId="0" applyFont="1" applyFill="1" applyBorder="1" applyAlignment="1">
      <alignment horizontal="center" vertical="center" wrapText="1"/>
    </xf>
    <xf numFmtId="0" fontId="146" fillId="5" borderId="1" xfId="0" applyFont="1" applyFill="1" applyBorder="1" applyAlignment="1">
      <alignment horizontal="center" vertical="center" wrapText="1"/>
    </xf>
    <xf numFmtId="0" fontId="107" fillId="0" borderId="0" xfId="0" applyFont="1" applyAlignment="1">
      <alignment wrapText="1"/>
    </xf>
    <xf numFmtId="0" fontId="131" fillId="0" borderId="2" xfId="0" applyFont="1" applyBorder="1" applyAlignment="1">
      <alignment vertical="center" wrapText="1"/>
    </xf>
    <xf numFmtId="0" fontId="131" fillId="0" borderId="1" xfId="0" applyFont="1" applyBorder="1" applyAlignment="1">
      <alignment horizontal="center" vertical="center"/>
    </xf>
    <xf numFmtId="0" fontId="131" fillId="0" borderId="3" xfId="0" applyFont="1" applyBorder="1" applyAlignment="1">
      <alignment horizontal="center" vertical="center"/>
    </xf>
    <xf numFmtId="0" fontId="135" fillId="0" borderId="2" xfId="0" applyFont="1" applyBorder="1" applyAlignment="1">
      <alignment horizontal="center" vertical="center"/>
    </xf>
    <xf numFmtId="0" fontId="142" fillId="0" borderId="2" xfId="0" applyFont="1" applyBorder="1" applyAlignment="1">
      <alignment horizontal="center" vertical="center"/>
    </xf>
    <xf numFmtId="0" fontId="141" fillId="0" borderId="2" xfId="0" applyFont="1" applyBorder="1" applyAlignment="1">
      <alignment horizontal="center" vertical="center"/>
    </xf>
    <xf numFmtId="17" fontId="118" fillId="0" borderId="2" xfId="0" applyNumberFormat="1" applyFont="1" applyBorder="1" applyAlignment="1">
      <alignment horizontal="center" vertical="center"/>
    </xf>
    <xf numFmtId="0" fontId="149" fillId="0" borderId="2" xfId="0" applyFont="1" applyBorder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13" fillId="0" borderId="2" xfId="0" applyFont="1" applyBorder="1" applyAlignment="1">
      <alignment horizontal="center" vertical="center"/>
    </xf>
    <xf numFmtId="0" fontId="120" fillId="0" borderId="2" xfId="0" applyFont="1" applyBorder="1" applyAlignment="1">
      <alignment horizontal="center" vertical="center"/>
    </xf>
    <xf numFmtId="0" fontId="154" fillId="0" borderId="2" xfId="0" applyFont="1" applyBorder="1" applyAlignment="1">
      <alignment horizontal="center" vertical="center"/>
    </xf>
    <xf numFmtId="0" fontId="146" fillId="5" borderId="2" xfId="0" applyFont="1" applyFill="1" applyBorder="1" applyAlignment="1">
      <alignment horizontal="center" vertical="center" wrapText="1"/>
    </xf>
    <xf numFmtId="0" fontId="119" fillId="5" borderId="1" xfId="0" applyFont="1" applyFill="1" applyBorder="1" applyAlignment="1">
      <alignment horizontal="center" vertical="center"/>
    </xf>
    <xf numFmtId="0" fontId="157" fillId="5" borderId="1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35" fillId="0" borderId="2" xfId="0" applyFont="1" applyBorder="1" applyAlignment="1">
      <alignment horizontal="center" vertical="center" wrapText="1"/>
    </xf>
    <xf numFmtId="1" fontId="106" fillId="7" borderId="2" xfId="0" applyNumberFormat="1" applyFont="1" applyFill="1" applyBorder="1" applyAlignment="1">
      <alignment horizontal="center" vertical="center" wrapText="1"/>
    </xf>
    <xf numFmtId="0" fontId="106" fillId="7" borderId="2" xfId="0" applyFont="1" applyFill="1" applyBorder="1" applyAlignment="1">
      <alignment horizontal="center" vertical="center" wrapText="1"/>
    </xf>
    <xf numFmtId="0" fontId="115" fillId="7" borderId="2" xfId="0" applyFont="1" applyFill="1" applyBorder="1" applyAlignment="1">
      <alignment horizontal="center" vertical="center" wrapText="1"/>
    </xf>
    <xf numFmtId="0" fontId="135" fillId="7" borderId="2" xfId="0" applyFont="1" applyFill="1" applyBorder="1" applyAlignment="1">
      <alignment horizontal="center" vertical="center" wrapText="1"/>
    </xf>
    <xf numFmtId="0" fontId="142" fillId="7" borderId="2" xfId="0" applyFont="1" applyFill="1" applyBorder="1" applyAlignment="1">
      <alignment horizontal="center" vertical="center" wrapText="1"/>
    </xf>
    <xf numFmtId="0" fontId="136" fillId="7" borderId="2" xfId="0" applyFont="1" applyFill="1" applyBorder="1" applyAlignment="1">
      <alignment horizontal="center" vertical="center" wrapText="1"/>
    </xf>
    <xf numFmtId="0" fontId="107" fillId="0" borderId="3" xfId="0" applyFont="1" applyBorder="1" applyAlignment="1">
      <alignment horizontal="center" vertical="center"/>
    </xf>
    <xf numFmtId="0" fontId="163" fillId="0" borderId="2" xfId="0" applyFont="1" applyBorder="1" applyAlignment="1">
      <alignment horizontal="center" vertical="center" wrapText="1"/>
    </xf>
    <xf numFmtId="0" fontId="164" fillId="0" borderId="0" xfId="0" applyFont="1" applyAlignment="1">
      <alignment horizontal="center" vertical="center"/>
    </xf>
    <xf numFmtId="0" fontId="164" fillId="0" borderId="0" xfId="0" applyFont="1" applyAlignment="1">
      <alignment horizontal="left" vertical="center"/>
    </xf>
    <xf numFmtId="0" fontId="112" fillId="9" borderId="2" xfId="0" applyFont="1" applyFill="1" applyBorder="1" applyAlignment="1">
      <alignment horizontal="center" vertical="center" wrapText="1"/>
    </xf>
    <xf numFmtId="1" fontId="164" fillId="3" borderId="2" xfId="0" applyNumberFormat="1" applyFont="1" applyFill="1" applyBorder="1" applyAlignment="1">
      <alignment horizontal="center" vertical="center" shrinkToFit="1"/>
    </xf>
    <xf numFmtId="0" fontId="131" fillId="11" borderId="2" xfId="0" applyFont="1" applyFill="1" applyBorder="1" applyAlignment="1">
      <alignment horizontal="center" vertical="center"/>
    </xf>
    <xf numFmtId="1" fontId="164" fillId="0" borderId="2" xfId="0" applyNumberFormat="1" applyFont="1" applyBorder="1" applyAlignment="1">
      <alignment horizontal="center" vertical="center" shrinkToFit="1"/>
    </xf>
    <xf numFmtId="168" fontId="164" fillId="11" borderId="2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88" fillId="0" borderId="2" xfId="0" applyFont="1" applyBorder="1" applyAlignment="1">
      <alignment vertical="center"/>
    </xf>
    <xf numFmtId="0" fontId="161" fillId="7" borderId="2" xfId="0" applyFont="1" applyFill="1" applyBorder="1" applyAlignment="1">
      <alignment horizontal="center" vertical="center" wrapText="1"/>
    </xf>
    <xf numFmtId="1" fontId="164" fillId="11" borderId="2" xfId="5" applyNumberFormat="1" applyFont="1" applyFill="1" applyBorder="1" applyAlignment="1">
      <alignment horizontal="center" vertical="center" shrinkToFit="1"/>
    </xf>
    <xf numFmtId="0" fontId="147" fillId="9" borderId="2" xfId="5" applyFont="1" applyFill="1" applyBorder="1" applyAlignment="1">
      <alignment horizontal="center" vertical="center" wrapText="1"/>
    </xf>
    <xf numFmtId="168" fontId="164" fillId="11" borderId="2" xfId="5" applyNumberFormat="1" applyFont="1" applyFill="1" applyBorder="1" applyAlignment="1">
      <alignment horizontal="center" vertical="center" shrinkToFit="1"/>
    </xf>
    <xf numFmtId="0" fontId="131" fillId="11" borderId="2" xfId="5" applyFont="1" applyFill="1" applyBorder="1" applyAlignment="1">
      <alignment horizontal="center" vertical="center"/>
    </xf>
    <xf numFmtId="0" fontId="164" fillId="3" borderId="2" xfId="5" applyFont="1" applyFill="1" applyBorder="1" applyAlignment="1">
      <alignment horizontal="center" vertical="center"/>
    </xf>
    <xf numFmtId="0" fontId="164" fillId="11" borderId="2" xfId="5" applyFont="1" applyFill="1" applyBorder="1" applyAlignment="1">
      <alignment horizontal="center" vertical="center"/>
    </xf>
    <xf numFmtId="0" fontId="131" fillId="11" borderId="2" xfId="0" applyFont="1" applyFill="1" applyBorder="1" applyAlignment="1">
      <alignment horizontal="center" vertical="center" wrapText="1"/>
    </xf>
    <xf numFmtId="0" fontId="131" fillId="3" borderId="2" xfId="0" applyFont="1" applyFill="1" applyBorder="1" applyAlignment="1">
      <alignment horizontal="center" vertical="center" wrapText="1"/>
    </xf>
    <xf numFmtId="0" fontId="164" fillId="3" borderId="2" xfId="0" applyFont="1" applyFill="1" applyBorder="1" applyAlignment="1">
      <alignment horizontal="center" vertical="center" wrapText="1"/>
    </xf>
    <xf numFmtId="168" fontId="164" fillId="0" borderId="2" xfId="0" applyNumberFormat="1" applyFont="1" applyBorder="1" applyAlignment="1">
      <alignment horizontal="center" vertical="center" shrinkToFit="1"/>
    </xf>
    <xf numFmtId="0" fontId="164" fillId="0" borderId="2" xfId="0" applyFont="1" applyBorder="1" applyAlignment="1">
      <alignment horizontal="center" vertical="center" wrapText="1"/>
    </xf>
    <xf numFmtId="0" fontId="164" fillId="11" borderId="2" xfId="0" applyFont="1" applyFill="1" applyBorder="1" applyAlignment="1">
      <alignment horizontal="center" vertical="center" wrapText="1"/>
    </xf>
    <xf numFmtId="1" fontId="164" fillId="0" borderId="0" xfId="0" applyNumberFormat="1" applyFont="1" applyAlignment="1">
      <alignment horizontal="center" vertical="center"/>
    </xf>
    <xf numFmtId="0" fontId="106" fillId="0" borderId="32" xfId="0" applyFont="1" applyBorder="1" applyAlignment="1">
      <alignment vertical="center" wrapText="1"/>
    </xf>
    <xf numFmtId="0" fontId="111" fillId="0" borderId="0" xfId="0" applyFont="1" applyAlignment="1">
      <alignment vertical="center" wrapText="1"/>
    </xf>
    <xf numFmtId="0" fontId="84" fillId="0" borderId="2" xfId="0" applyFont="1" applyBorder="1" applyAlignment="1">
      <alignment vertical="center"/>
    </xf>
    <xf numFmtId="0" fontId="114" fillId="7" borderId="2" xfId="0" applyFont="1" applyFill="1" applyBorder="1" applyAlignment="1">
      <alignment horizontal="center" vertical="center" wrapText="1"/>
    </xf>
    <xf numFmtId="0" fontId="85" fillId="0" borderId="2" xfId="10" applyBorder="1" applyAlignment="1">
      <alignment horizontal="center" vertical="center"/>
    </xf>
    <xf numFmtId="0" fontId="85" fillId="0" borderId="2" xfId="1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107" fillId="0" borderId="1" xfId="0" applyFont="1" applyBorder="1" applyAlignment="1">
      <alignment horizontal="center" vertical="center"/>
    </xf>
    <xf numFmtId="0" fontId="161" fillId="7" borderId="2" xfId="0" applyFont="1" applyFill="1" applyBorder="1" applyAlignment="1">
      <alignment vertical="center" wrapText="1"/>
    </xf>
    <xf numFmtId="0" fontId="161" fillId="7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 readingOrder="1"/>
    </xf>
    <xf numFmtId="0" fontId="109" fillId="4" borderId="2" xfId="0" applyFont="1" applyFill="1" applyBorder="1" applyAlignment="1">
      <alignment horizontal="center" vertical="center"/>
    </xf>
    <xf numFmtId="0" fontId="148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164" fillId="0" borderId="2" xfId="5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16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6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16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7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64" fillId="3" borderId="2" xfId="0" applyFont="1" applyFill="1" applyBorder="1" applyAlignment="1">
      <alignment horizontal="left" vertical="center" wrapText="1" readingOrder="1"/>
    </xf>
    <xf numFmtId="0" fontId="131" fillId="3" borderId="2" xfId="0" applyFont="1" applyFill="1" applyBorder="1" applyAlignment="1">
      <alignment horizontal="left" vertical="center" wrapText="1"/>
    </xf>
    <xf numFmtId="0" fontId="118" fillId="11" borderId="2" xfId="5" applyFont="1" applyFill="1" applyBorder="1" applyAlignment="1">
      <alignment horizontal="left" vertical="center" wrapText="1"/>
    </xf>
    <xf numFmtId="0" fontId="161" fillId="8" borderId="2" xfId="0" applyFont="1" applyFill="1" applyBorder="1" applyAlignment="1">
      <alignment horizontal="center" vertical="center" wrapText="1"/>
    </xf>
    <xf numFmtId="0" fontId="161" fillId="8" borderId="2" xfId="0" applyFont="1" applyFill="1" applyBorder="1" applyAlignment="1">
      <alignment horizontal="left" vertical="center" wrapText="1"/>
    </xf>
    <xf numFmtId="0" fontId="117" fillId="8" borderId="2" xfId="0" applyFont="1" applyFill="1" applyBorder="1" applyAlignment="1">
      <alignment horizontal="center" vertical="center" wrapText="1"/>
    </xf>
    <xf numFmtId="0" fontId="119" fillId="8" borderId="2" xfId="0" applyFont="1" applyFill="1" applyBorder="1" applyAlignment="1">
      <alignment horizontal="center" vertical="center" wrapText="1"/>
    </xf>
    <xf numFmtId="0" fontId="84" fillId="0" borderId="2" xfId="0" applyFont="1" applyBorder="1" applyAlignment="1">
      <alignment horizontal="center" vertical="center"/>
    </xf>
    <xf numFmtId="0" fontId="79" fillId="3" borderId="2" xfId="0" applyFont="1" applyFill="1" applyBorder="1" applyAlignment="1">
      <alignment horizontal="left" vertical="center"/>
    </xf>
    <xf numFmtId="1" fontId="84" fillId="0" borderId="2" xfId="0" applyNumberFormat="1" applyFont="1" applyBorder="1" applyAlignment="1">
      <alignment vertical="center"/>
    </xf>
    <xf numFmtId="0" fontId="79" fillId="0" borderId="2" xfId="0" applyFont="1" applyBorder="1" applyAlignment="1">
      <alignment horizontal="left" vertical="center"/>
    </xf>
    <xf numFmtId="17" fontId="77" fillId="0" borderId="2" xfId="0" applyNumberFormat="1" applyFont="1" applyBorder="1" applyAlignment="1">
      <alignment horizontal="left" vertical="center"/>
    </xf>
    <xf numFmtId="0" fontId="79" fillId="0" borderId="2" xfId="0" applyFont="1" applyBorder="1" applyAlignment="1">
      <alignment horizontal="left" vertical="center" wrapText="1"/>
    </xf>
    <xf numFmtId="0" fontId="87" fillId="0" borderId="2" xfId="0" applyFont="1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0" fontId="161" fillId="0" borderId="0" xfId="0" applyFont="1" applyAlignment="1">
      <alignment vertical="center"/>
    </xf>
    <xf numFmtId="0" fontId="176" fillId="0" borderId="0" xfId="0" applyFont="1" applyAlignment="1">
      <alignment vertical="center"/>
    </xf>
    <xf numFmtId="0" fontId="147" fillId="2" borderId="2" xfId="0" applyFont="1" applyFill="1" applyBorder="1" applyAlignment="1">
      <alignment horizontal="center" vertical="center" wrapText="1"/>
    </xf>
    <xf numFmtId="0" fontId="148" fillId="2" borderId="2" xfId="0" applyFont="1" applyFill="1" applyBorder="1" applyAlignment="1">
      <alignment horizontal="center" vertical="center" wrapText="1"/>
    </xf>
    <xf numFmtId="0" fontId="148" fillId="2" borderId="2" xfId="0" applyFont="1" applyFill="1" applyBorder="1" applyAlignment="1">
      <alignment vertical="center" wrapText="1"/>
    </xf>
    <xf numFmtId="0" fontId="130" fillId="2" borderId="2" xfId="0" applyFont="1" applyFill="1" applyBorder="1" applyAlignment="1">
      <alignment horizontal="center" vertical="center" wrapText="1"/>
    </xf>
    <xf numFmtId="0" fontId="12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1" fillId="7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center" wrapText="1"/>
    </xf>
    <xf numFmtId="16" fontId="76" fillId="0" borderId="0" xfId="0" applyNumberFormat="1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6" fillId="0" borderId="2" xfId="0" applyFont="1" applyBorder="1" applyAlignment="1">
      <alignment horizontal="center" vertical="center"/>
    </xf>
    <xf numFmtId="0" fontId="171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3" xfId="0" applyBorder="1" applyAlignment="1">
      <alignment horizontal="left" vertical="center" wrapText="1" readingOrder="1"/>
    </xf>
    <xf numFmtId="0" fontId="0" fillId="0" borderId="13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148" fillId="0" borderId="13" xfId="0" applyFont="1" applyBorder="1" applyAlignment="1">
      <alignment horizontal="center" vertical="center" wrapText="1"/>
    </xf>
    <xf numFmtId="0" fontId="106" fillId="0" borderId="0" xfId="2" applyFont="1" applyAlignment="1">
      <alignment vertical="center"/>
    </xf>
    <xf numFmtId="0" fontId="181" fillId="0" borderId="0" xfId="2" applyFont="1" applyAlignment="1">
      <alignment vertical="center"/>
    </xf>
    <xf numFmtId="0" fontId="182" fillId="0" borderId="0" xfId="2" applyFont="1" applyAlignment="1">
      <alignment horizontal="left" vertical="center"/>
    </xf>
    <xf numFmtId="0" fontId="107" fillId="0" borderId="0" xfId="2" applyFont="1" applyAlignment="1">
      <alignment vertical="center"/>
    </xf>
    <xf numFmtId="0" fontId="74" fillId="0" borderId="2" xfId="0" applyFont="1" applyBorder="1" applyAlignment="1">
      <alignment horizontal="left" vertical="center" wrapText="1" readingOrder="1"/>
    </xf>
    <xf numFmtId="0" fontId="73" fillId="0" borderId="0" xfId="0" applyFont="1" applyAlignment="1">
      <alignment vertical="center"/>
    </xf>
    <xf numFmtId="0" fontId="72" fillId="0" borderId="32" xfId="0" applyFont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0" fontId="189" fillId="0" borderId="2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161" fillId="4" borderId="2" xfId="0" applyFont="1" applyFill="1" applyBorder="1" applyAlignment="1">
      <alignment horizontal="center" vertical="center"/>
    </xf>
    <xf numFmtId="0" fontId="190" fillId="0" borderId="2" xfId="0" applyFont="1" applyBorder="1" applyAlignment="1">
      <alignment horizontal="center" vertical="center"/>
    </xf>
    <xf numFmtId="0" fontId="71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69" fillId="0" borderId="2" xfId="0" applyFont="1" applyBorder="1" applyAlignment="1">
      <alignment vertical="center"/>
    </xf>
    <xf numFmtId="0" fontId="108" fillId="7" borderId="2" xfId="0" applyFont="1" applyFill="1" applyBorder="1" applyAlignment="1">
      <alignment horizontal="center" vertical="center" wrapText="1"/>
    </xf>
    <xf numFmtId="0" fontId="115" fillId="5" borderId="2" xfId="0" applyFont="1" applyFill="1" applyBorder="1" applyAlignment="1">
      <alignment horizontal="center" vertical="center" wrapText="1"/>
    </xf>
    <xf numFmtId="0" fontId="117" fillId="5" borderId="2" xfId="0" applyFont="1" applyFill="1" applyBorder="1" applyAlignment="1">
      <alignment horizontal="center" vertical="center" wrapText="1"/>
    </xf>
    <xf numFmtId="0" fontId="150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68" fillId="0" borderId="2" xfId="0" applyFont="1" applyBorder="1" applyAlignment="1">
      <alignment vertical="center"/>
    </xf>
    <xf numFmtId="0" fontId="74" fillId="0" borderId="2" xfId="0" applyFont="1" applyBorder="1" applyAlignment="1">
      <alignment horizontal="left" vertical="center"/>
    </xf>
    <xf numFmtId="0" fontId="74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89" fillId="0" borderId="2" xfId="0" applyFont="1" applyBorder="1" applyAlignment="1">
      <alignment horizontal="center" vertical="center" wrapText="1"/>
    </xf>
    <xf numFmtId="1" fontId="106" fillId="7" borderId="2" xfId="0" applyNumberFormat="1" applyFont="1" applyFill="1" applyBorder="1" applyAlignment="1">
      <alignment horizontal="center" vertical="center"/>
    </xf>
    <xf numFmtId="0" fontId="106" fillId="7" borderId="2" xfId="0" applyFont="1" applyFill="1" applyBorder="1" applyAlignment="1">
      <alignment horizontal="center" vertical="center"/>
    </xf>
    <xf numFmtId="0" fontId="144" fillId="5" borderId="1" xfId="0" applyFont="1" applyFill="1" applyBorder="1" applyAlignment="1">
      <alignment horizontal="center" vertical="center"/>
    </xf>
    <xf numFmtId="0" fontId="144" fillId="5" borderId="2" xfId="0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49" fontId="106" fillId="7" borderId="2" xfId="0" applyNumberFormat="1" applyFont="1" applyFill="1" applyBorder="1" applyAlignment="1">
      <alignment vertical="center"/>
    </xf>
    <xf numFmtId="0" fontId="106" fillId="7" borderId="2" xfId="0" applyFont="1" applyFill="1" applyBorder="1" applyAlignment="1">
      <alignment vertical="center"/>
    </xf>
    <xf numFmtId="0" fontId="113" fillId="0" borderId="0" xfId="0" applyFont="1" applyAlignment="1">
      <alignment vertical="center"/>
    </xf>
    <xf numFmtId="0" fontId="161" fillId="0" borderId="2" xfId="0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 wrapText="1"/>
    </xf>
    <xf numFmtId="0" fontId="150" fillId="0" borderId="0" xfId="0" applyFont="1" applyAlignment="1">
      <alignment horizontal="center" vertical="center"/>
    </xf>
    <xf numFmtId="1" fontId="110" fillId="0" borderId="2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2" fillId="0" borderId="0" xfId="0" applyFont="1" applyAlignment="1">
      <alignment vertical="center"/>
    </xf>
    <xf numFmtId="0" fontId="112" fillId="0" borderId="0" xfId="0" applyFont="1" applyAlignment="1">
      <alignment horizontal="center" vertical="center"/>
    </xf>
    <xf numFmtId="0" fontId="109" fillId="0" borderId="0" xfId="0" applyFont="1" applyAlignment="1">
      <alignment horizontal="left" vertical="center"/>
    </xf>
    <xf numFmtId="0" fontId="166" fillId="0" borderId="2" xfId="0" applyFont="1" applyBorder="1" applyAlignment="1">
      <alignment horizontal="left" vertical="center"/>
    </xf>
    <xf numFmtId="0" fontId="67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vertical="center" wrapText="1"/>
    </xf>
    <xf numFmtId="168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66" fillId="0" borderId="2" xfId="0" applyFont="1" applyBorder="1" applyAlignment="1">
      <alignment horizontal="left" vertical="center"/>
    </xf>
    <xf numFmtId="0" fontId="66" fillId="0" borderId="0" xfId="0" applyFont="1" applyAlignment="1">
      <alignment vertical="center" wrapText="1"/>
    </xf>
    <xf numFmtId="0" fontId="164" fillId="3" borderId="2" xfId="0" applyFont="1" applyFill="1" applyBorder="1" applyAlignment="1">
      <alignment horizontal="left" vertical="center" wrapText="1"/>
    </xf>
    <xf numFmtId="0" fontId="65" fillId="0" borderId="2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0" fontId="173" fillId="0" borderId="2" xfId="0" applyFont="1" applyBorder="1" applyAlignment="1">
      <alignment vertical="center" wrapText="1"/>
    </xf>
    <xf numFmtId="0" fontId="64" fillId="0" borderId="2" xfId="0" applyFont="1" applyBorder="1" applyAlignment="1">
      <alignment horizontal="center" vertical="center" wrapText="1"/>
    </xf>
    <xf numFmtId="0" fontId="191" fillId="0" borderId="2" xfId="0" applyFont="1" applyBorder="1" applyAlignment="1">
      <alignment horizontal="center" vertical="center" wrapText="1"/>
    </xf>
    <xf numFmtId="0" fontId="190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 wrapText="1"/>
    </xf>
    <xf numFmtId="0" fontId="62" fillId="0" borderId="2" xfId="0" applyFont="1" applyBorder="1" applyAlignment="1">
      <alignment vertical="center" wrapText="1"/>
    </xf>
    <xf numFmtId="0" fontId="63" fillId="0" borderId="32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49" fontId="60" fillId="0" borderId="2" xfId="0" applyNumberFormat="1" applyFont="1" applyBorder="1" applyAlignment="1">
      <alignment horizontal="left" vertical="center" wrapText="1" readingOrder="1"/>
    </xf>
    <xf numFmtId="0" fontId="59" fillId="0" borderId="2" xfId="0" applyFont="1" applyBorder="1" applyAlignment="1">
      <alignment horizontal="center" vertical="center"/>
    </xf>
    <xf numFmtId="0" fontId="192" fillId="0" borderId="2" xfId="0" applyFont="1" applyBorder="1" applyAlignment="1">
      <alignment horizontal="center" vertical="center"/>
    </xf>
    <xf numFmtId="0" fontId="57" fillId="0" borderId="2" xfId="0" applyFont="1" applyBorder="1" applyAlignment="1">
      <alignment horizontal="left" vertical="center"/>
    </xf>
    <xf numFmtId="0" fontId="161" fillId="0" borderId="2" xfId="0" applyFont="1" applyBorder="1" applyAlignment="1">
      <alignment horizontal="center" vertical="center" wrapText="1"/>
    </xf>
    <xf numFmtId="0" fontId="161" fillId="0" borderId="2" xfId="0" applyFont="1" applyBorder="1" applyAlignment="1">
      <alignment horizontal="left" vertical="center" wrapText="1"/>
    </xf>
    <xf numFmtId="0" fontId="161" fillId="0" borderId="2" xfId="0" applyFont="1" applyBorder="1" applyAlignment="1">
      <alignment horizontal="right" vertical="center" wrapText="1"/>
    </xf>
    <xf numFmtId="0" fontId="173" fillId="0" borderId="2" xfId="0" applyFont="1" applyBorder="1" applyAlignment="1">
      <alignment horizontal="center" vertical="center" wrapText="1"/>
    </xf>
    <xf numFmtId="0" fontId="147" fillId="0" borderId="2" xfId="0" applyFont="1" applyBorder="1" applyAlignment="1">
      <alignment horizontal="center" vertical="center" wrapText="1"/>
    </xf>
    <xf numFmtId="0" fontId="148" fillId="0" borderId="2" xfId="0" applyFont="1" applyBorder="1" applyAlignment="1">
      <alignment horizontal="center" vertical="center" wrapText="1"/>
    </xf>
    <xf numFmtId="0" fontId="110" fillId="0" borderId="2" xfId="0" applyFont="1" applyBorder="1" applyAlignment="1">
      <alignment vertical="center" wrapText="1"/>
    </xf>
    <xf numFmtId="0" fontId="56" fillId="0" borderId="32" xfId="0" applyFont="1" applyBorder="1" applyAlignment="1">
      <alignment horizontal="center" vertical="center"/>
    </xf>
    <xf numFmtId="0" fontId="56" fillId="0" borderId="2" xfId="0" applyFont="1" applyBorder="1" applyAlignment="1">
      <alignment vertical="center" wrapText="1"/>
    </xf>
    <xf numFmtId="0" fontId="148" fillId="4" borderId="2" xfId="0" applyFont="1" applyFill="1" applyBorder="1" applyAlignment="1">
      <alignment horizontal="center" vertical="center" wrapText="1"/>
    </xf>
    <xf numFmtId="0" fontId="72" fillId="4" borderId="32" xfId="0" applyFont="1" applyFill="1" applyBorder="1" applyAlignment="1">
      <alignment horizontal="center" vertical="center"/>
    </xf>
    <xf numFmtId="0" fontId="64" fillId="4" borderId="2" xfId="0" applyFont="1" applyFill="1" applyBorder="1" applyAlignment="1">
      <alignment horizontal="center" vertical="center"/>
    </xf>
    <xf numFmtId="0" fontId="148" fillId="6" borderId="2" xfId="0" applyFont="1" applyFill="1" applyBorder="1" applyAlignment="1">
      <alignment horizontal="center" vertical="center" wrapText="1"/>
    </xf>
    <xf numFmtId="0" fontId="164" fillId="0" borderId="2" xfId="0" applyFont="1" applyBorder="1" applyAlignment="1">
      <alignment horizontal="left" vertical="center" wrapText="1"/>
    </xf>
    <xf numFmtId="0" fontId="164" fillId="0" borderId="2" xfId="0" applyFont="1" applyBorder="1" applyAlignment="1">
      <alignment horizontal="left" vertical="center" wrapText="1" readingOrder="1"/>
    </xf>
    <xf numFmtId="0" fontId="13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11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08" fillId="5" borderId="2" xfId="0" applyFont="1" applyFill="1" applyBorder="1" applyAlignment="1">
      <alignment vertical="center" wrapText="1"/>
    </xf>
    <xf numFmtId="0" fontId="0" fillId="12" borderId="2" xfId="0" applyFill="1" applyBorder="1" applyAlignment="1">
      <alignment horizontal="center"/>
    </xf>
    <xf numFmtId="0" fontId="55" fillId="0" borderId="0" xfId="0" applyFont="1"/>
    <xf numFmtId="0" fontId="0" fillId="12" borderId="2" xfId="0" applyFill="1" applyBorder="1"/>
    <xf numFmtId="0" fontId="54" fillId="0" borderId="3" xfId="0" applyFont="1" applyBorder="1" applyAlignment="1">
      <alignment vertical="center" wrapText="1"/>
    </xf>
    <xf numFmtId="0" fontId="53" fillId="0" borderId="2" xfId="0" applyFont="1" applyBorder="1" applyAlignment="1">
      <alignment horizontal="left" vertical="center"/>
    </xf>
    <xf numFmtId="0" fontId="52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vertical="center" wrapText="1"/>
    </xf>
    <xf numFmtId="0" fontId="19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13" fillId="0" borderId="0" xfId="0" applyFont="1" applyAlignment="1">
      <alignment horizontal="center" vertical="center" wrapText="1"/>
    </xf>
    <xf numFmtId="0" fontId="107" fillId="0" borderId="2" xfId="0" applyFont="1" applyBorder="1" applyAlignment="1">
      <alignment horizontal="left" vertical="center"/>
    </xf>
    <xf numFmtId="0" fontId="51" fillId="0" borderId="2" xfId="0" applyFont="1" applyBorder="1" applyAlignment="1">
      <alignment horizontal="left" vertical="center"/>
    </xf>
    <xf numFmtId="168" fontId="164" fillId="4" borderId="2" xfId="0" applyNumberFormat="1" applyFont="1" applyFill="1" applyBorder="1" applyAlignment="1">
      <alignment horizontal="center" vertical="center" shrinkToFit="1"/>
    </xf>
    <xf numFmtId="0" fontId="197" fillId="0" borderId="2" xfId="0" applyFont="1" applyBorder="1" applyAlignment="1">
      <alignment horizontal="center" vertical="center" wrapText="1"/>
    </xf>
    <xf numFmtId="0" fontId="196" fillId="0" borderId="2" xfId="0" applyFont="1" applyBorder="1" applyAlignment="1">
      <alignment vertical="center" wrapText="1"/>
    </xf>
    <xf numFmtId="0" fontId="131" fillId="13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vertical="center" wrapText="1"/>
    </xf>
    <xf numFmtId="0" fontId="50" fillId="0" borderId="2" xfId="0" applyFont="1" applyBorder="1" applyAlignment="1">
      <alignment vertical="center"/>
    </xf>
    <xf numFmtId="0" fontId="196" fillId="0" borderId="2" xfId="0" applyFont="1" applyBorder="1" applyAlignment="1">
      <alignment horizontal="center" vertical="center"/>
    </xf>
    <xf numFmtId="0" fontId="196" fillId="0" borderId="2" xfId="0" applyFont="1" applyBorder="1" applyAlignment="1">
      <alignment vertical="center"/>
    </xf>
    <xf numFmtId="0" fontId="173" fillId="0" borderId="2" xfId="0" applyFont="1" applyBorder="1" applyAlignment="1">
      <alignment horizontal="center" vertical="center"/>
    </xf>
    <xf numFmtId="0" fontId="161" fillId="4" borderId="0" xfId="0" applyFont="1" applyFill="1"/>
    <xf numFmtId="0" fontId="161" fillId="4" borderId="0" xfId="0" applyFont="1" applyFill="1" applyAlignment="1">
      <alignment wrapText="1"/>
    </xf>
    <xf numFmtId="0" fontId="161" fillId="4" borderId="0" xfId="0" applyFont="1" applyFill="1" applyAlignment="1">
      <alignment horizontal="center"/>
    </xf>
    <xf numFmtId="0" fontId="48" fillId="0" borderId="2" xfId="0" applyFont="1" applyBorder="1" applyAlignment="1">
      <alignment vertical="center"/>
    </xf>
    <xf numFmtId="0" fontId="148" fillId="0" borderId="2" xfId="0" applyFont="1" applyBorder="1" applyAlignment="1">
      <alignment horizontal="center" vertical="center"/>
    </xf>
    <xf numFmtId="0" fontId="194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197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vertical="center"/>
    </xf>
    <xf numFmtId="0" fontId="173" fillId="0" borderId="2" xfId="0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0" fontId="44" fillId="0" borderId="2" xfId="0" applyFont="1" applyBorder="1" applyAlignment="1">
      <alignment horizontal="center" vertical="center"/>
    </xf>
    <xf numFmtId="0" fontId="166" fillId="0" borderId="2" xfId="0" applyFont="1" applyBorder="1" applyAlignment="1">
      <alignment vertical="center"/>
    </xf>
    <xf numFmtId="0" fontId="43" fillId="0" borderId="2" xfId="0" applyFont="1" applyBorder="1" applyAlignment="1">
      <alignment horizontal="center" vertical="center"/>
    </xf>
    <xf numFmtId="0" fontId="160" fillId="0" borderId="2" xfId="0" applyFont="1" applyBorder="1" applyAlignment="1">
      <alignment vertical="center"/>
    </xf>
    <xf numFmtId="0" fontId="198" fillId="0" borderId="2" xfId="0" applyFont="1" applyBorder="1" applyAlignment="1">
      <alignment horizontal="center" vertical="center"/>
    </xf>
    <xf numFmtId="1" fontId="131" fillId="0" borderId="2" xfId="0" applyNumberFormat="1" applyFont="1" applyBorder="1" applyAlignment="1">
      <alignment horizontal="center" vertical="center"/>
    </xf>
    <xf numFmtId="0" fontId="164" fillId="0" borderId="2" xfId="0" applyFont="1" applyBorder="1" applyAlignment="1">
      <alignment horizontal="center" vertical="center"/>
    </xf>
    <xf numFmtId="1" fontId="131" fillId="0" borderId="2" xfId="0" applyNumberFormat="1" applyFont="1" applyBorder="1" applyAlignment="1">
      <alignment horizontal="center" vertical="center" shrinkToFit="1"/>
    </xf>
    <xf numFmtId="0" fontId="150" fillId="3" borderId="0" xfId="0" applyFont="1" applyFill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1" fontId="110" fillId="3" borderId="2" xfId="0" applyNumberFormat="1" applyFont="1" applyFill="1" applyBorder="1" applyAlignment="1">
      <alignment horizontal="center" vertical="center"/>
    </xf>
    <xf numFmtId="0" fontId="110" fillId="3" borderId="2" xfId="0" applyFont="1" applyFill="1" applyBorder="1" applyAlignment="1">
      <alignment horizontal="center" vertical="center"/>
    </xf>
    <xf numFmtId="0" fontId="109" fillId="3" borderId="2" xfId="0" applyFont="1" applyFill="1" applyBorder="1" applyAlignment="1">
      <alignment horizontal="center" vertical="center"/>
    </xf>
    <xf numFmtId="0" fontId="113" fillId="3" borderId="2" xfId="0" applyFont="1" applyFill="1" applyBorder="1" applyAlignment="1">
      <alignment horizontal="center" vertical="center"/>
    </xf>
    <xf numFmtId="0" fontId="154" fillId="3" borderId="2" xfId="0" applyFont="1" applyFill="1" applyBorder="1" applyAlignment="1">
      <alignment horizontal="center" vertical="center"/>
    </xf>
    <xf numFmtId="0" fontId="112" fillId="3" borderId="2" xfId="0" applyFont="1" applyFill="1" applyBorder="1" applyAlignment="1">
      <alignment horizontal="center" vertical="center"/>
    </xf>
    <xf numFmtId="0" fontId="110" fillId="3" borderId="2" xfId="0" applyFont="1" applyFill="1" applyBorder="1" applyAlignment="1">
      <alignment horizontal="left" vertical="center"/>
    </xf>
    <xf numFmtId="49" fontId="110" fillId="3" borderId="2" xfId="0" applyNumberFormat="1" applyFont="1" applyFill="1" applyBorder="1" applyAlignment="1">
      <alignment horizontal="center" vertical="center"/>
    </xf>
    <xf numFmtId="0" fontId="109" fillId="3" borderId="2" xfId="0" applyFont="1" applyFill="1" applyBorder="1" applyAlignment="1">
      <alignment horizontal="left" vertical="center"/>
    </xf>
    <xf numFmtId="0" fontId="162" fillId="3" borderId="2" xfId="0" applyFont="1" applyFill="1" applyBorder="1" applyAlignment="1">
      <alignment horizontal="left" vertical="center"/>
    </xf>
    <xf numFmtId="0" fontId="131" fillId="3" borderId="2" xfId="0" applyFont="1" applyFill="1" applyBorder="1" applyAlignment="1">
      <alignment horizontal="center" vertical="center"/>
    </xf>
    <xf numFmtId="0" fontId="15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89" fillId="3" borderId="2" xfId="0" applyFont="1" applyFill="1" applyBorder="1" applyAlignment="1">
      <alignment horizontal="center" vertical="center"/>
    </xf>
    <xf numFmtId="0" fontId="81" fillId="3" borderId="2" xfId="0" applyFont="1" applyFill="1" applyBorder="1" applyAlignment="1">
      <alignment horizontal="center" vertical="center"/>
    </xf>
    <xf numFmtId="0" fontId="160" fillId="3" borderId="2" xfId="0" applyFont="1" applyFill="1" applyBorder="1" applyAlignment="1">
      <alignment horizontal="center" vertical="center"/>
    </xf>
    <xf numFmtId="0" fontId="47" fillId="3" borderId="2" xfId="0" applyFont="1" applyFill="1" applyBorder="1" applyAlignment="1">
      <alignment horizontal="center" vertical="center"/>
    </xf>
    <xf numFmtId="0" fontId="87" fillId="3" borderId="2" xfId="0" applyFont="1" applyFill="1" applyBorder="1" applyAlignment="1">
      <alignment horizontal="center" vertical="center"/>
    </xf>
    <xf numFmtId="0" fontId="83" fillId="3" borderId="2" xfId="0" applyFont="1" applyFill="1" applyBorder="1" applyAlignment="1">
      <alignment horizontal="center" vertical="center"/>
    </xf>
    <xf numFmtId="0" fontId="155" fillId="3" borderId="2" xfId="0" applyFont="1" applyFill="1" applyBorder="1" applyAlignment="1">
      <alignment horizontal="center" vertical="center"/>
    </xf>
    <xf numFmtId="0" fontId="112" fillId="3" borderId="2" xfId="0" applyFont="1" applyFill="1" applyBorder="1" applyAlignment="1">
      <alignment vertical="center"/>
    </xf>
    <xf numFmtId="0" fontId="110" fillId="3" borderId="2" xfId="0" applyFont="1" applyFill="1" applyBorder="1" applyAlignment="1">
      <alignment vertical="center"/>
    </xf>
    <xf numFmtId="49" fontId="106" fillId="7" borderId="2" xfId="0" applyNumberFormat="1" applyFont="1" applyFill="1" applyBorder="1" applyAlignment="1">
      <alignment horizontal="center" vertical="center" wrapText="1"/>
    </xf>
    <xf numFmtId="0" fontId="117" fillId="7" borderId="2" xfId="0" applyFont="1" applyFill="1" applyBorder="1" applyAlignment="1">
      <alignment horizontal="center" vertical="center" wrapText="1"/>
    </xf>
    <xf numFmtId="0" fontId="41" fillId="0" borderId="2" xfId="10" applyFont="1" applyBorder="1" applyAlignment="1">
      <alignment horizontal="center" vertical="center"/>
    </xf>
    <xf numFmtId="0" fontId="110" fillId="3" borderId="2" xfId="0" applyFont="1" applyFill="1" applyBorder="1" applyAlignment="1">
      <alignment horizontal="left" vertical="center" wrapText="1"/>
    </xf>
    <xf numFmtId="0" fontId="40" fillId="0" borderId="2" xfId="10" applyFont="1" applyBorder="1" applyAlignment="1">
      <alignment vertical="center"/>
    </xf>
    <xf numFmtId="0" fontId="173" fillId="3" borderId="2" xfId="0" applyFont="1" applyFill="1" applyBorder="1" applyAlignment="1">
      <alignment horizontal="center" vertical="center" wrapText="1"/>
    </xf>
    <xf numFmtId="0" fontId="116" fillId="3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39" fillId="0" borderId="2" xfId="10" applyFont="1" applyBorder="1" applyAlignment="1">
      <alignment vertical="center"/>
    </xf>
    <xf numFmtId="0" fontId="85" fillId="3" borderId="2" xfId="10" applyFill="1" applyBorder="1" applyAlignment="1">
      <alignment horizontal="center" vertical="center"/>
    </xf>
    <xf numFmtId="0" fontId="39" fillId="3" borderId="2" xfId="1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85" fillId="3" borderId="2" xfId="10" applyFill="1" applyBorder="1" applyAlignment="1">
      <alignment vertical="center"/>
    </xf>
    <xf numFmtId="0" fontId="58" fillId="3" borderId="2" xfId="10" applyFont="1" applyFill="1" applyBorder="1" applyAlignment="1">
      <alignment horizontal="center" vertical="center"/>
    </xf>
    <xf numFmtId="0" fontId="38" fillId="0" borderId="0" xfId="16"/>
    <xf numFmtId="0" fontId="38" fillId="0" borderId="0" xfId="16" applyAlignment="1">
      <alignment vertical="center" wrapText="1"/>
    </xf>
    <xf numFmtId="0" fontId="182" fillId="0" borderId="0" xfId="18" applyFont="1" applyAlignment="1">
      <alignment horizontal="left" vertical="center"/>
    </xf>
    <xf numFmtId="0" fontId="106" fillId="0" borderId="0" xfId="18" applyFont="1" applyAlignment="1">
      <alignment vertical="center" wrapText="1"/>
    </xf>
    <xf numFmtId="0" fontId="181" fillId="0" borderId="0" xfId="18" applyFont="1" applyAlignment="1">
      <alignment vertical="center" wrapText="1"/>
    </xf>
    <xf numFmtId="0" fontId="107" fillId="0" borderId="0" xfId="18" applyFont="1" applyAlignment="1">
      <alignment vertical="center" wrapText="1"/>
    </xf>
    <xf numFmtId="0" fontId="201" fillId="0" borderId="0" xfId="18" applyFont="1" applyAlignment="1">
      <alignment horizontal="left" vertical="center"/>
    </xf>
    <xf numFmtId="0" fontId="37" fillId="3" borderId="2" xfId="0" applyFont="1" applyFill="1" applyBorder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109" fillId="0" borderId="2" xfId="0" applyFont="1" applyBorder="1" applyAlignment="1">
      <alignment vertical="center" wrapText="1"/>
    </xf>
    <xf numFmtId="0" fontId="19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73" fillId="0" borderId="0" xfId="0" applyFont="1" applyAlignment="1">
      <alignment horizontal="center" vertical="center"/>
    </xf>
    <xf numFmtId="0" fontId="174" fillId="0" borderId="0" xfId="18" applyFont="1" applyAlignment="1">
      <alignment vertical="center" wrapText="1"/>
    </xf>
    <xf numFmtId="0" fontId="169" fillId="0" borderId="0" xfId="18" applyFont="1" applyAlignment="1">
      <alignment horizontal="left" vertical="center"/>
    </xf>
    <xf numFmtId="0" fontId="174" fillId="0" borderId="0" xfId="16" applyFont="1" applyAlignment="1">
      <alignment horizontal="left" vertical="center"/>
    </xf>
    <xf numFmtId="0" fontId="34" fillId="0" borderId="0" xfId="16" applyFont="1" applyAlignment="1">
      <alignment vertical="center" wrapText="1"/>
    </xf>
    <xf numFmtId="0" fontId="143" fillId="0" borderId="2" xfId="0" applyFont="1" applyBorder="1" applyAlignment="1">
      <alignment horizontal="center" vertical="center" wrapText="1"/>
    </xf>
    <xf numFmtId="0" fontId="160" fillId="0" borderId="0" xfId="0" applyFont="1" applyAlignment="1">
      <alignment vertical="center"/>
    </xf>
    <xf numFmtId="0" fontId="160" fillId="3" borderId="0" xfId="0" applyFont="1" applyFill="1" applyAlignment="1">
      <alignment vertical="center"/>
    </xf>
    <xf numFmtId="0" fontId="132" fillId="0" borderId="0" xfId="0" applyFont="1" applyAlignment="1">
      <alignment vertical="center"/>
    </xf>
    <xf numFmtId="0" fontId="0" fillId="12" borderId="0" xfId="0" applyFill="1" applyAlignment="1">
      <alignment vertical="center" wrapText="1"/>
    </xf>
    <xf numFmtId="0" fontId="173" fillId="12" borderId="2" xfId="0" applyFont="1" applyFill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vertical="center"/>
    </xf>
    <xf numFmtId="0" fontId="116" fillId="3" borderId="2" xfId="0" applyFont="1" applyFill="1" applyBorder="1" applyAlignment="1">
      <alignment horizontal="center" vertical="center"/>
    </xf>
    <xf numFmtId="0" fontId="116" fillId="3" borderId="31" xfId="0" applyFont="1" applyFill="1" applyBorder="1" applyAlignment="1">
      <alignment horizontal="center" vertical="center"/>
    </xf>
    <xf numFmtId="0" fontId="116" fillId="3" borderId="32" xfId="0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center" vertical="center" wrapText="1"/>
    </xf>
    <xf numFmtId="0" fontId="120" fillId="3" borderId="2" xfId="0" applyFont="1" applyFill="1" applyBorder="1" applyAlignment="1">
      <alignment horizontal="center" vertical="center"/>
    </xf>
    <xf numFmtId="0" fontId="114" fillId="3" borderId="2" xfId="0" applyFont="1" applyFill="1" applyBorder="1" applyAlignment="1">
      <alignment horizontal="center" vertical="center"/>
    </xf>
    <xf numFmtId="0" fontId="200" fillId="3" borderId="2" xfId="0" applyFont="1" applyFill="1" applyBorder="1"/>
    <xf numFmtId="0" fontId="0" fillId="3" borderId="0" xfId="0" applyFill="1"/>
    <xf numFmtId="0" fontId="173" fillId="0" borderId="0" xfId="0" applyFont="1" applyAlignment="1">
      <alignment vertical="center" wrapText="1"/>
    </xf>
    <xf numFmtId="0" fontId="85" fillId="0" borderId="2" xfId="10" applyBorder="1" applyAlignment="1">
      <alignment horizontal="center"/>
    </xf>
    <xf numFmtId="0" fontId="85" fillId="0" borderId="2" xfId="10" applyBorder="1"/>
    <xf numFmtId="0" fontId="169" fillId="3" borderId="2" xfId="10" applyFont="1" applyFill="1" applyBorder="1"/>
    <xf numFmtId="0" fontId="85" fillId="14" borderId="2" xfId="10" applyFill="1" applyBorder="1"/>
    <xf numFmtId="0" fontId="175" fillId="7" borderId="2" xfId="0" applyFont="1" applyFill="1" applyBorder="1" applyAlignment="1">
      <alignment horizontal="center" vertical="center" wrapText="1"/>
    </xf>
    <xf numFmtId="0" fontId="107" fillId="0" borderId="0" xfId="16" applyFont="1" applyAlignment="1">
      <alignment horizontal="left" vertical="center"/>
    </xf>
    <xf numFmtId="0" fontId="110" fillId="4" borderId="2" xfId="0" applyFont="1" applyFill="1" applyBorder="1" applyAlignment="1">
      <alignment horizontal="center" vertical="center"/>
    </xf>
    <xf numFmtId="0" fontId="110" fillId="4" borderId="2" xfId="0" applyFont="1" applyFill="1" applyBorder="1" applyAlignment="1">
      <alignment horizontal="left" vertical="center"/>
    </xf>
    <xf numFmtId="0" fontId="113" fillId="4" borderId="2" xfId="0" applyFont="1" applyFill="1" applyBorder="1" applyAlignment="1">
      <alignment horizontal="center" vertical="center"/>
    </xf>
    <xf numFmtId="0" fontId="159" fillId="0" borderId="2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99" fillId="0" borderId="0" xfId="18" applyFont="1" applyAlignment="1">
      <alignment vertical="center" wrapText="1"/>
    </xf>
    <xf numFmtId="0" fontId="194" fillId="0" borderId="0" xfId="18" applyFont="1" applyAlignment="1">
      <alignment horizontal="left" vertical="center"/>
    </xf>
    <xf numFmtId="0" fontId="193" fillId="0" borderId="31" xfId="5" applyFont="1" applyBorder="1" applyAlignment="1">
      <alignment vertical="center"/>
    </xf>
    <xf numFmtId="0" fontId="193" fillId="0" borderId="33" xfId="5" applyFont="1" applyBorder="1" applyAlignment="1">
      <alignment vertical="center"/>
    </xf>
    <xf numFmtId="169" fontId="200" fillId="3" borderId="2" xfId="0" applyNumberFormat="1" applyFont="1" applyFill="1" applyBorder="1" applyAlignment="1">
      <alignment horizontal="center" vertical="center"/>
    </xf>
    <xf numFmtId="0" fontId="202" fillId="3" borderId="2" xfId="0" applyFont="1" applyFill="1" applyBorder="1" applyAlignment="1">
      <alignment horizontal="center" vertical="center"/>
    </xf>
    <xf numFmtId="0" fontId="202" fillId="3" borderId="2" xfId="0" applyFont="1" applyFill="1" applyBorder="1" applyAlignment="1">
      <alignment horizontal="left" vertical="center"/>
    </xf>
    <xf numFmtId="0" fontId="106" fillId="3" borderId="0" xfId="18" applyFont="1" applyFill="1" applyAlignment="1">
      <alignment vertical="center" wrapText="1"/>
    </xf>
    <xf numFmtId="0" fontId="109" fillId="4" borderId="2" xfId="0" applyFont="1" applyFill="1" applyBorder="1" applyAlignment="1">
      <alignment vertical="center" wrapText="1"/>
    </xf>
    <xf numFmtId="49" fontId="109" fillId="4" borderId="2" xfId="0" applyNumberFormat="1" applyFont="1" applyFill="1" applyBorder="1" applyAlignment="1">
      <alignment horizontal="center" vertical="center"/>
    </xf>
    <xf numFmtId="0" fontId="110" fillId="3" borderId="0" xfId="0" applyFont="1" applyFill="1" applyAlignment="1">
      <alignment horizontal="center" vertical="center"/>
    </xf>
    <xf numFmtId="0" fontId="109" fillId="3" borderId="2" xfId="0" applyFont="1" applyFill="1" applyBorder="1" applyAlignment="1">
      <alignment horizontal="left" vertical="center" wrapText="1"/>
    </xf>
    <xf numFmtId="0" fontId="110" fillId="3" borderId="2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6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right" vertical="center" wrapText="1"/>
    </xf>
    <xf numFmtId="0" fontId="196" fillId="3" borderId="0" xfId="0" applyFont="1" applyFill="1" applyAlignment="1">
      <alignment vertical="center" wrapText="1"/>
    </xf>
    <xf numFmtId="0" fontId="85" fillId="3" borderId="2" xfId="10" applyFill="1" applyBorder="1" applyAlignment="1">
      <alignment horizontal="center"/>
    </xf>
    <xf numFmtId="0" fontId="85" fillId="3" borderId="2" xfId="10" applyFill="1" applyBorder="1"/>
    <xf numFmtId="0" fontId="0" fillId="3" borderId="2" xfId="0" applyFill="1" applyBorder="1" applyAlignment="1">
      <alignment horizontal="center"/>
    </xf>
    <xf numFmtId="0" fontId="33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8" fillId="0" borderId="0" xfId="0" applyFont="1" applyAlignment="1">
      <alignment vertical="center"/>
    </xf>
    <xf numFmtId="0" fontId="161" fillId="0" borderId="0" xfId="0" applyFont="1" applyAlignment="1">
      <alignment horizontal="center" vertical="center"/>
    </xf>
    <xf numFmtId="0" fontId="203" fillId="0" borderId="0" xfId="18" applyFont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143" fillId="0" borderId="32" xfId="0" applyFont="1" applyBorder="1" applyAlignment="1">
      <alignment horizontal="center" vertical="center" wrapText="1"/>
    </xf>
    <xf numFmtId="0" fontId="116" fillId="4" borderId="2" xfId="0" applyFont="1" applyFill="1" applyBorder="1" applyAlignment="1">
      <alignment horizontal="center" vertical="center"/>
    </xf>
    <xf numFmtId="0" fontId="110" fillId="4" borderId="2" xfId="0" applyFont="1" applyFill="1" applyBorder="1" applyAlignment="1">
      <alignment vertical="center" wrapText="1"/>
    </xf>
    <xf numFmtId="0" fontId="116" fillId="4" borderId="2" xfId="0" applyFont="1" applyFill="1" applyBorder="1" applyAlignment="1">
      <alignment horizontal="center" vertical="center" wrapText="1"/>
    </xf>
    <xf numFmtId="49" fontId="110" fillId="4" borderId="2" xfId="0" applyNumberFormat="1" applyFont="1" applyFill="1" applyBorder="1" applyAlignment="1">
      <alignment horizontal="center" vertical="center"/>
    </xf>
    <xf numFmtId="0" fontId="154" fillId="4" borderId="2" xfId="0" applyFont="1" applyFill="1" applyBorder="1" applyAlignment="1">
      <alignment horizontal="center" vertical="center"/>
    </xf>
    <xf numFmtId="0" fontId="120" fillId="4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169" fontId="32" fillId="3" borderId="2" xfId="0" applyNumberFormat="1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vertical="center" wrapText="1"/>
    </xf>
    <xf numFmtId="0" fontId="32" fillId="3" borderId="0" xfId="0" applyFont="1" applyFill="1" applyAlignment="1">
      <alignment horizontal="center" vertical="center" wrapText="1"/>
    </xf>
    <xf numFmtId="0" fontId="32" fillId="0" borderId="2" xfId="0" applyFont="1" applyBorder="1" applyAlignment="1">
      <alignment horizontal="right" vertical="center" wrapText="1"/>
    </xf>
    <xf numFmtId="0" fontId="32" fillId="0" borderId="0" xfId="16" applyFont="1"/>
    <xf numFmtId="0" fontId="30" fillId="0" borderId="2" xfId="10" applyFont="1" applyBorder="1" applyAlignment="1">
      <alignment vertical="center"/>
    </xf>
    <xf numFmtId="0" fontId="29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 wrapText="1"/>
    </xf>
    <xf numFmtId="1" fontId="131" fillId="3" borderId="2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vertical="center" wrapText="1"/>
    </xf>
    <xf numFmtId="0" fontId="109" fillId="4" borderId="2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vertical="center" wrapText="1"/>
    </xf>
    <xf numFmtId="0" fontId="21" fillId="3" borderId="2" xfId="0" applyFont="1" applyFill="1" applyBorder="1" applyAlignment="1">
      <alignment vertical="center" wrapText="1"/>
    </xf>
    <xf numFmtId="0" fontId="205" fillId="3" borderId="2" xfId="0" applyFont="1" applyFill="1" applyBorder="1" applyAlignment="1">
      <alignment horizontal="left" vertical="center"/>
    </xf>
    <xf numFmtId="0" fontId="110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110" fillId="0" borderId="2" xfId="0" applyFont="1" applyBorder="1" applyAlignment="1">
      <alignment horizontal="left" vertical="center" wrapText="1"/>
    </xf>
    <xf numFmtId="0" fontId="155" fillId="8" borderId="2" xfId="0" applyFont="1" applyFill="1" applyBorder="1" applyAlignment="1">
      <alignment horizontal="center" vertical="center"/>
    </xf>
    <xf numFmtId="0" fontId="110" fillId="8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55" fillId="0" borderId="2" xfId="0" applyFont="1" applyBorder="1" applyAlignment="1">
      <alignment horizontal="left" vertical="center" wrapText="1"/>
    </xf>
    <xf numFmtId="0" fontId="89" fillId="0" borderId="2" xfId="0" applyFont="1" applyBorder="1" applyAlignment="1">
      <alignment horizontal="center" vertical="center"/>
    </xf>
    <xf numFmtId="0" fontId="155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67" fontId="110" fillId="3" borderId="2" xfId="0" applyNumberFormat="1" applyFont="1" applyFill="1" applyBorder="1" applyAlignment="1">
      <alignment horizontal="center" vertical="center"/>
    </xf>
    <xf numFmtId="0" fontId="192" fillId="3" borderId="0" xfId="0" applyFont="1" applyFill="1" applyAlignment="1">
      <alignment horizontal="center" vertical="center"/>
    </xf>
    <xf numFmtId="0" fontId="24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110" fillId="15" borderId="2" xfId="0" applyFont="1" applyFill="1" applyBorder="1" applyAlignment="1">
      <alignment horizontal="center" vertical="center"/>
    </xf>
    <xf numFmtId="0" fontId="110" fillId="15" borderId="2" xfId="0" applyFont="1" applyFill="1" applyBorder="1" applyAlignment="1">
      <alignment horizontal="left" vertical="center"/>
    </xf>
    <xf numFmtId="0" fontId="113" fillId="15" borderId="2" xfId="0" applyFont="1" applyFill="1" applyBorder="1" applyAlignment="1">
      <alignment horizontal="center" vertical="center"/>
    </xf>
    <xf numFmtId="0" fontId="109" fillId="15" borderId="2" xfId="0" applyFont="1" applyFill="1" applyBorder="1" applyAlignment="1">
      <alignment horizontal="center" vertical="center"/>
    </xf>
    <xf numFmtId="167" fontId="110" fillId="15" borderId="2" xfId="0" applyNumberFormat="1" applyFont="1" applyFill="1" applyBorder="1" applyAlignment="1">
      <alignment horizontal="center" vertical="center"/>
    </xf>
    <xf numFmtId="49" fontId="110" fillId="15" borderId="2" xfId="0" applyNumberFormat="1" applyFont="1" applyFill="1" applyBorder="1" applyAlignment="1">
      <alignment horizontal="center" vertical="center"/>
    </xf>
    <xf numFmtId="0" fontId="162" fillId="15" borderId="2" xfId="0" applyFont="1" applyFill="1" applyBorder="1" applyAlignment="1">
      <alignment horizontal="left" vertical="center"/>
    </xf>
    <xf numFmtId="0" fontId="160" fillId="15" borderId="2" xfId="0" applyFont="1" applyFill="1" applyBorder="1" applyAlignment="1">
      <alignment horizontal="center" vertical="center"/>
    </xf>
    <xf numFmtId="1" fontId="109" fillId="0" borderId="2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169" fontId="32" fillId="0" borderId="2" xfId="0" applyNumberFormat="1" applyFont="1" applyBorder="1" applyAlignment="1">
      <alignment horizontal="center" vertical="center"/>
    </xf>
    <xf numFmtId="0" fontId="196" fillId="0" borderId="0" xfId="0" applyFont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10" fillId="3" borderId="0" xfId="0" applyFont="1" applyFill="1" applyAlignment="1">
      <alignment horizontal="center" vertical="center" wrapText="1"/>
    </xf>
    <xf numFmtId="0" fontId="38" fillId="0" borderId="0" xfId="16" applyAlignment="1">
      <alignment horizontal="center" vertical="center" wrapText="1"/>
    </xf>
    <xf numFmtId="0" fontId="38" fillId="0" borderId="0" xfId="16" applyAlignment="1">
      <alignment horizontal="center"/>
    </xf>
    <xf numFmtId="0" fontId="20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09" fillId="0" borderId="2" xfId="0" applyFont="1" applyBorder="1" applyAlignment="1">
      <alignment horizontal="left" vertical="center" wrapText="1"/>
    </xf>
    <xf numFmtId="1" fontId="110" fillId="4" borderId="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162" fillId="3" borderId="2" xfId="0" applyFont="1" applyFill="1" applyBorder="1" applyAlignment="1">
      <alignment horizontal="center" vertical="center"/>
    </xf>
    <xf numFmtId="0" fontId="204" fillId="0" borderId="0" xfId="30" applyAlignment="1">
      <alignment horizontal="center" vertical="center" wrapText="1" readingOrder="1"/>
    </xf>
    <xf numFmtId="0" fontId="169" fillId="0" borderId="0" xfId="18" applyFont="1" applyAlignment="1">
      <alignment horizontal="left" vertical="center" wrapText="1"/>
    </xf>
    <xf numFmtId="0" fontId="174" fillId="0" borderId="0" xfId="16" applyFont="1" applyAlignment="1">
      <alignment horizontal="left" vertical="center" wrapText="1"/>
    </xf>
    <xf numFmtId="0" fontId="20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0" fontId="109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61" fillId="0" borderId="0" xfId="0" applyFont="1" applyAlignment="1">
      <alignment horizontal="left" vertical="center"/>
    </xf>
    <xf numFmtId="0" fontId="110" fillId="0" borderId="1" xfId="0" applyFont="1" applyBorder="1" applyAlignment="1">
      <alignment vertical="center" wrapText="1"/>
    </xf>
    <xf numFmtId="0" fontId="131" fillId="0" borderId="0" xfId="0" applyFont="1" applyAlignment="1">
      <alignment horizontal="left" vertical="center"/>
    </xf>
    <xf numFmtId="0" fontId="1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38" fillId="0" borderId="0" xfId="16" applyAlignment="1">
      <alignment vertical="center"/>
    </xf>
    <xf numFmtId="0" fontId="200" fillId="0" borderId="2" xfId="0" applyFont="1" applyBorder="1"/>
    <xf numFmtId="0" fontId="169" fillId="0" borderId="2" xfId="10" applyFont="1" applyBorder="1"/>
    <xf numFmtId="0" fontId="169" fillId="0" borderId="2" xfId="10" applyFont="1" applyBorder="1" applyAlignment="1">
      <alignment vertical="center" wrapText="1"/>
    </xf>
    <xf numFmtId="0" fontId="13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08" fillId="7" borderId="31" xfId="0" applyFont="1" applyFill="1" applyBorder="1" applyAlignment="1">
      <alignment horizontal="center" vertical="center" wrapText="1"/>
    </xf>
    <xf numFmtId="0" fontId="108" fillId="7" borderId="32" xfId="0" applyFont="1" applyFill="1" applyBorder="1" applyAlignment="1">
      <alignment horizontal="center" vertical="center" wrapText="1"/>
    </xf>
    <xf numFmtId="0" fontId="174" fillId="0" borderId="0" xfId="0" applyFont="1" applyAlignment="1">
      <alignment horizontal="left" vertical="center" wrapText="1"/>
    </xf>
    <xf numFmtId="0" fontId="174" fillId="0" borderId="0" xfId="0" applyFont="1" applyAlignment="1">
      <alignment horizontal="left" vertical="top" wrapText="1"/>
    </xf>
    <xf numFmtId="0" fontId="0" fillId="12" borderId="31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110" fillId="12" borderId="31" xfId="0" applyFont="1" applyFill="1" applyBorder="1" applyAlignment="1">
      <alignment horizontal="center" vertical="center"/>
    </xf>
    <xf numFmtId="0" fontId="110" fillId="12" borderId="33" xfId="0" applyFont="1" applyFill="1" applyBorder="1" applyAlignment="1">
      <alignment horizontal="center" vertical="center"/>
    </xf>
    <xf numFmtId="0" fontId="110" fillId="12" borderId="32" xfId="0" applyFont="1" applyFill="1" applyBorder="1" applyAlignment="1">
      <alignment horizontal="center" vertical="center"/>
    </xf>
    <xf numFmtId="0" fontId="158" fillId="9" borderId="2" xfId="5" applyFont="1" applyFill="1" applyBorder="1" applyAlignment="1">
      <alignment horizontal="center" vertical="center" wrapText="1"/>
    </xf>
    <xf numFmtId="0" fontId="179" fillId="9" borderId="2" xfId="5" applyFont="1" applyFill="1" applyBorder="1" applyAlignment="1">
      <alignment horizontal="center" vertical="center" wrapText="1"/>
    </xf>
    <xf numFmtId="0" fontId="158" fillId="9" borderId="31" xfId="5" applyFont="1" applyFill="1" applyBorder="1" applyAlignment="1">
      <alignment horizontal="center" vertical="center" wrapText="1"/>
    </xf>
    <xf numFmtId="0" fontId="158" fillId="9" borderId="32" xfId="5" applyFont="1" applyFill="1" applyBorder="1" applyAlignment="1">
      <alignment horizontal="center" vertical="center" wrapText="1"/>
    </xf>
    <xf numFmtId="0" fontId="147" fillId="9" borderId="1" xfId="5" applyFont="1" applyFill="1" applyBorder="1" applyAlignment="1">
      <alignment horizontal="center" vertical="center" wrapText="1"/>
    </xf>
    <xf numFmtId="0" fontId="180" fillId="9" borderId="3" xfId="5" applyFont="1" applyFill="1" applyBorder="1" applyAlignment="1">
      <alignment horizontal="center" vertical="center" wrapText="1"/>
    </xf>
    <xf numFmtId="0" fontId="147" fillId="9" borderId="3" xfId="5" applyFont="1" applyFill="1" applyBorder="1" applyAlignment="1">
      <alignment horizontal="center" vertical="center" wrapText="1"/>
    </xf>
    <xf numFmtId="0" fontId="161" fillId="10" borderId="2" xfId="0" applyFont="1" applyFill="1" applyBorder="1" applyAlignment="1">
      <alignment horizontal="center" vertical="center"/>
    </xf>
    <xf numFmtId="0" fontId="112" fillId="9" borderId="2" xfId="0" applyFont="1" applyFill="1" applyBorder="1" applyAlignment="1">
      <alignment horizontal="center" vertical="center" wrapText="1"/>
    </xf>
    <xf numFmtId="0" fontId="178" fillId="9" borderId="2" xfId="0" applyFont="1" applyFill="1" applyBorder="1" applyAlignment="1">
      <alignment horizontal="center" vertical="center" wrapText="1"/>
    </xf>
    <xf numFmtId="0" fontId="112" fillId="9" borderId="31" xfId="0" applyFont="1" applyFill="1" applyBorder="1" applyAlignment="1">
      <alignment horizontal="center" vertical="center" wrapText="1"/>
    </xf>
    <xf numFmtId="0" fontId="112" fillId="9" borderId="32" xfId="0" applyFont="1" applyFill="1" applyBorder="1" applyAlignment="1">
      <alignment horizontal="center" vertical="center" wrapText="1"/>
    </xf>
    <xf numFmtId="0" fontId="178" fillId="10" borderId="1" xfId="0" applyFont="1" applyFill="1" applyBorder="1" applyAlignment="1">
      <alignment horizontal="center" vertical="center"/>
    </xf>
    <xf numFmtId="0" fontId="178" fillId="10" borderId="3" xfId="0" applyFont="1" applyFill="1" applyBorder="1" applyAlignment="1">
      <alignment horizontal="center" vertical="center"/>
    </xf>
    <xf numFmtId="0" fontId="112" fillId="9" borderId="1" xfId="0" applyFont="1" applyFill="1" applyBorder="1" applyAlignment="1">
      <alignment horizontal="center" vertical="center" wrapText="1"/>
    </xf>
    <xf numFmtId="0" fontId="112" fillId="9" borderId="3" xfId="0" applyFont="1" applyFill="1" applyBorder="1" applyAlignment="1">
      <alignment horizontal="center" vertical="center" wrapText="1"/>
    </xf>
    <xf numFmtId="0" fontId="174" fillId="0" borderId="0" xfId="18" applyFont="1" applyAlignment="1">
      <alignment horizontal="left" vertical="center" wrapText="1"/>
    </xf>
    <xf numFmtId="0" fontId="106" fillId="5" borderId="1" xfId="0" applyFont="1" applyFill="1" applyBorder="1" applyAlignment="1">
      <alignment horizontal="center" vertical="center" wrapText="1"/>
    </xf>
    <xf numFmtId="0" fontId="106" fillId="5" borderId="3" xfId="0" applyFont="1" applyFill="1" applyBorder="1" applyAlignment="1">
      <alignment horizontal="center" vertical="center" wrapText="1"/>
    </xf>
    <xf numFmtId="0" fontId="106" fillId="5" borderId="31" xfId="0" applyFont="1" applyFill="1" applyBorder="1" applyAlignment="1">
      <alignment horizontal="center" vertical="center" wrapText="1"/>
    </xf>
    <xf numFmtId="0" fontId="106" fillId="5" borderId="32" xfId="0" applyFont="1" applyFill="1" applyBorder="1" applyAlignment="1">
      <alignment horizontal="center" vertical="center" wrapText="1"/>
    </xf>
    <xf numFmtId="0" fontId="166" fillId="0" borderId="31" xfId="0" applyFont="1" applyBorder="1" applyAlignment="1">
      <alignment horizontal="center" vertical="center"/>
    </xf>
    <xf numFmtId="0" fontId="166" fillId="0" borderId="33" xfId="0" applyFont="1" applyBorder="1" applyAlignment="1">
      <alignment horizontal="center" vertical="center"/>
    </xf>
    <xf numFmtId="0" fontId="166" fillId="0" borderId="32" xfId="0" applyFont="1" applyBorder="1" applyAlignment="1">
      <alignment horizontal="center" vertical="center"/>
    </xf>
    <xf numFmtId="0" fontId="177" fillId="2" borderId="2" xfId="0" applyFont="1" applyFill="1" applyBorder="1" applyAlignment="1">
      <alignment horizontal="center" vertical="center" wrapText="1"/>
    </xf>
    <xf numFmtId="0" fontId="117" fillId="8" borderId="2" xfId="0" applyFont="1" applyFill="1" applyBorder="1" applyAlignment="1">
      <alignment horizontal="center" vertical="center" wrapText="1"/>
    </xf>
    <xf numFmtId="0" fontId="119" fillId="8" borderId="2" xfId="0" applyFont="1" applyFill="1" applyBorder="1" applyAlignment="1">
      <alignment horizontal="center" vertical="center" wrapText="1"/>
    </xf>
    <xf numFmtId="0" fontId="114" fillId="8" borderId="2" xfId="0" applyFont="1" applyFill="1" applyBorder="1" applyAlignment="1">
      <alignment horizontal="center" vertical="center" wrapText="1"/>
    </xf>
    <xf numFmtId="0" fontId="161" fillId="8" borderId="2" xfId="0" applyFont="1" applyFill="1" applyBorder="1" applyAlignment="1">
      <alignment horizontal="center" vertical="center" wrapText="1"/>
    </xf>
    <xf numFmtId="0" fontId="161" fillId="8" borderId="2" xfId="0" applyFont="1" applyFill="1" applyBorder="1" applyAlignment="1">
      <alignment horizontal="left" vertical="center" wrapText="1"/>
    </xf>
    <xf numFmtId="0" fontId="161" fillId="8" borderId="31" xfId="0" applyFont="1" applyFill="1" applyBorder="1" applyAlignment="1">
      <alignment horizontal="center" vertical="center" wrapText="1"/>
    </xf>
    <xf numFmtId="0" fontId="161" fillId="8" borderId="32" xfId="0" applyFont="1" applyFill="1" applyBorder="1" applyAlignment="1">
      <alignment horizontal="center" vertical="center" wrapText="1"/>
    </xf>
    <xf numFmtId="0" fontId="161" fillId="7" borderId="2" xfId="0" applyFont="1" applyFill="1" applyBorder="1" applyAlignment="1">
      <alignment horizontal="center" vertical="center" wrapText="1"/>
    </xf>
    <xf numFmtId="0" fontId="161" fillId="7" borderId="1" xfId="0" applyFont="1" applyFill="1" applyBorder="1" applyAlignment="1">
      <alignment horizontal="center" vertical="center" wrapText="1"/>
    </xf>
    <xf numFmtId="0" fontId="161" fillId="7" borderId="3" xfId="0" applyFont="1" applyFill="1" applyBorder="1" applyAlignment="1">
      <alignment horizontal="center" vertical="center" wrapText="1"/>
    </xf>
    <xf numFmtId="0" fontId="148" fillId="2" borderId="2" xfId="0" applyFont="1" applyFill="1" applyBorder="1" applyAlignment="1">
      <alignment horizontal="center" vertical="center" wrapText="1"/>
    </xf>
    <xf numFmtId="0" fontId="147" fillId="2" borderId="2" xfId="0" applyFont="1" applyFill="1" applyBorder="1" applyAlignment="1">
      <alignment horizontal="center" vertical="center" wrapText="1"/>
    </xf>
    <xf numFmtId="0" fontId="161" fillId="7" borderId="2" xfId="0" applyFont="1" applyFill="1" applyBorder="1" applyAlignment="1">
      <alignment horizontal="center" vertical="center"/>
    </xf>
    <xf numFmtId="0" fontId="177" fillId="7" borderId="2" xfId="0" applyFont="1" applyFill="1" applyBorder="1" applyAlignment="1">
      <alignment horizontal="center" vertical="center" wrapText="1"/>
    </xf>
    <xf numFmtId="0" fontId="174" fillId="0" borderId="0" xfId="18" applyFont="1" applyAlignment="1">
      <alignment vertical="center" wrapText="1"/>
    </xf>
    <xf numFmtId="0" fontId="90" fillId="0" borderId="2" xfId="0" applyFont="1" applyBorder="1" applyAlignment="1">
      <alignment horizontal="center" vertical="top" wrapText="1"/>
    </xf>
    <xf numFmtId="0" fontId="94" fillId="2" borderId="2" xfId="4" applyFont="1" applyFill="1" applyBorder="1" applyAlignment="1">
      <alignment horizontal="center" vertical="top" wrapText="1"/>
    </xf>
    <xf numFmtId="0" fontId="95" fillId="0" borderId="1" xfId="4" applyFont="1" applyBorder="1" applyAlignment="1">
      <alignment horizontal="center" vertical="top" wrapText="1"/>
    </xf>
    <xf numFmtId="0" fontId="95" fillId="0" borderId="13" xfId="4" applyFont="1" applyBorder="1" applyAlignment="1">
      <alignment horizontal="center" vertical="top" wrapText="1"/>
    </xf>
    <xf numFmtId="0" fontId="95" fillId="0" borderId="3" xfId="4" applyFont="1" applyBorder="1" applyAlignment="1">
      <alignment horizontal="center" vertical="top" wrapText="1"/>
    </xf>
    <xf numFmtId="0" fontId="95" fillId="0" borderId="2" xfId="4" applyFont="1" applyBorder="1" applyAlignment="1">
      <alignment horizontal="center" vertical="top" wrapText="1"/>
    </xf>
    <xf numFmtId="0" fontId="95" fillId="0" borderId="1" xfId="4" applyFont="1" applyBorder="1" applyAlignment="1">
      <alignment horizontal="left" vertical="top" wrapText="1"/>
    </xf>
    <xf numFmtId="0" fontId="95" fillId="0" borderId="13" xfId="4" applyFont="1" applyBorder="1" applyAlignment="1">
      <alignment horizontal="left" vertical="top" wrapText="1"/>
    </xf>
    <xf numFmtId="0" fontId="95" fillId="0" borderId="3" xfId="4" applyFont="1" applyBorder="1" applyAlignment="1">
      <alignment horizontal="left" vertical="top" wrapText="1"/>
    </xf>
    <xf numFmtId="0" fontId="95" fillId="0" borderId="2" xfId="4" applyFont="1" applyBorder="1" applyAlignment="1">
      <alignment horizontal="left" vertical="top" wrapText="1"/>
    </xf>
    <xf numFmtId="0" fontId="95" fillId="4" borderId="2" xfId="4" applyFont="1" applyFill="1" applyBorder="1" applyAlignment="1">
      <alignment horizontal="center" vertical="top" wrapText="1"/>
    </xf>
    <xf numFmtId="0" fontId="95" fillId="4" borderId="2" xfId="4" applyFont="1" applyFill="1" applyBorder="1" applyAlignment="1">
      <alignment horizontal="left" vertical="top" wrapText="1"/>
    </xf>
    <xf numFmtId="0" fontId="95" fillId="0" borderId="2" xfId="0" applyFont="1" applyBorder="1" applyAlignment="1">
      <alignment horizontal="left" vertical="top" wrapText="1"/>
    </xf>
    <xf numFmtId="0" fontId="91" fillId="0" borderId="2" xfId="0" applyFont="1" applyBorder="1" applyAlignment="1">
      <alignment horizontal="left" vertical="top" wrapText="1"/>
    </xf>
    <xf numFmtId="0" fontId="95" fillId="0" borderId="2" xfId="0" applyFont="1" applyBorder="1" applyAlignment="1">
      <alignment horizontal="center" vertical="top" wrapText="1"/>
    </xf>
    <xf numFmtId="0" fontId="90" fillId="2" borderId="2" xfId="0" applyFont="1" applyFill="1" applyBorder="1" applyAlignment="1">
      <alignment horizontal="center" vertical="top" wrapText="1"/>
    </xf>
    <xf numFmtId="0" fontId="94" fillId="2" borderId="7" xfId="4" applyFont="1" applyFill="1" applyBorder="1" applyAlignment="1">
      <alignment horizontal="center" vertical="center"/>
    </xf>
    <xf numFmtId="166" fontId="90" fillId="2" borderId="7" xfId="2" applyNumberFormat="1" applyFont="1" applyFill="1" applyBorder="1" applyAlignment="1">
      <alignment horizontal="center" vertical="center"/>
    </xf>
    <xf numFmtId="166" fontId="90" fillId="2" borderId="17" xfId="2" applyNumberFormat="1" applyFont="1" applyFill="1" applyBorder="1" applyAlignment="1">
      <alignment horizontal="center" vertical="center"/>
    </xf>
    <xf numFmtId="0" fontId="94" fillId="2" borderId="5" xfId="4" applyFont="1" applyFill="1" applyBorder="1" applyAlignment="1">
      <alignment horizontal="center" vertical="center"/>
    </xf>
    <xf numFmtId="0" fontId="94" fillId="2" borderId="8" xfId="4" applyFont="1" applyFill="1" applyBorder="1" applyAlignment="1">
      <alignment horizontal="center" vertical="center"/>
    </xf>
    <xf numFmtId="0" fontId="95" fillId="0" borderId="5" xfId="4" applyFont="1" applyBorder="1" applyAlignment="1">
      <alignment horizontal="center" vertical="center"/>
    </xf>
    <xf numFmtId="0" fontId="95" fillId="0" borderId="15" xfId="4" applyFont="1" applyBorder="1" applyAlignment="1">
      <alignment horizontal="center" vertical="center"/>
    </xf>
    <xf numFmtId="0" fontId="95" fillId="0" borderId="16" xfId="4" applyFont="1" applyBorder="1" applyAlignment="1">
      <alignment horizontal="center" vertical="center"/>
    </xf>
    <xf numFmtId="0" fontId="95" fillId="0" borderId="8" xfId="4" applyFont="1" applyBorder="1" applyAlignment="1">
      <alignment horizontal="center" vertical="center"/>
    </xf>
    <xf numFmtId="0" fontId="95" fillId="0" borderId="12" xfId="4" applyFont="1" applyBorder="1" applyAlignment="1">
      <alignment horizontal="center" vertical="center"/>
    </xf>
    <xf numFmtId="0" fontId="95" fillId="0" borderId="7" xfId="4" applyFont="1" applyBorder="1" applyAlignment="1">
      <alignment horizontal="center" vertical="center"/>
    </xf>
    <xf numFmtId="0" fontId="95" fillId="0" borderId="2" xfId="4" applyFont="1" applyBorder="1" applyAlignment="1">
      <alignment horizontal="center" vertical="center"/>
    </xf>
    <xf numFmtId="0" fontId="95" fillId="0" borderId="10" xfId="4" applyFont="1" applyBorder="1" applyAlignment="1">
      <alignment horizontal="center" vertical="center"/>
    </xf>
    <xf numFmtId="0" fontId="95" fillId="0" borderId="1" xfId="4" applyFont="1" applyBorder="1" applyAlignment="1">
      <alignment horizontal="center" vertical="center"/>
    </xf>
    <xf numFmtId="0" fontId="95" fillId="0" borderId="13" xfId="4" applyFont="1" applyBorder="1" applyAlignment="1">
      <alignment horizontal="center" vertical="center"/>
    </xf>
    <xf numFmtId="0" fontId="95" fillId="0" borderId="11" xfId="4" applyFont="1" applyBorder="1" applyAlignment="1">
      <alignment horizontal="center" vertical="center"/>
    </xf>
    <xf numFmtId="0" fontId="95" fillId="0" borderId="14" xfId="4" applyFont="1" applyBorder="1" applyAlignment="1">
      <alignment horizontal="center" vertical="center"/>
    </xf>
    <xf numFmtId="0" fontId="97" fillId="3" borderId="11" xfId="4" applyFont="1" applyFill="1" applyBorder="1" applyAlignment="1">
      <alignment horizontal="center" vertical="center"/>
    </xf>
    <xf numFmtId="0" fontId="97" fillId="3" borderId="14" xfId="4" applyFont="1" applyFill="1" applyBorder="1" applyAlignment="1">
      <alignment horizontal="center" vertical="center"/>
    </xf>
    <xf numFmtId="0" fontId="91" fillId="0" borderId="5" xfId="2" applyFont="1" applyBorder="1" applyAlignment="1">
      <alignment horizontal="center" vertical="center"/>
    </xf>
    <xf numFmtId="0" fontId="91" fillId="0" borderId="15" xfId="2" applyFont="1" applyBorder="1" applyAlignment="1">
      <alignment horizontal="center" vertical="center"/>
    </xf>
    <xf numFmtId="0" fontId="91" fillId="0" borderId="16" xfId="2" applyFont="1" applyBorder="1" applyAlignment="1">
      <alignment horizontal="center" vertical="center"/>
    </xf>
    <xf numFmtId="0" fontId="91" fillId="0" borderId="2" xfId="2" applyFont="1" applyBorder="1" applyAlignment="1">
      <alignment horizontal="center" vertical="center"/>
    </xf>
    <xf numFmtId="0" fontId="91" fillId="0" borderId="25" xfId="2" applyFont="1" applyBorder="1" applyAlignment="1">
      <alignment horizontal="center" vertical="center"/>
    </xf>
    <xf numFmtId="0" fontId="91" fillId="0" borderId="8" xfId="2" applyFont="1" applyBorder="1" applyAlignment="1">
      <alignment horizontal="center" vertical="center"/>
    </xf>
    <xf numFmtId="0" fontId="91" fillId="0" borderId="11" xfId="2" applyFont="1" applyBorder="1" applyAlignment="1">
      <alignment horizontal="center" vertical="center"/>
    </xf>
    <xf numFmtId="0" fontId="91" fillId="0" borderId="14" xfId="2" applyFont="1" applyBorder="1" applyAlignment="1">
      <alignment horizontal="center" vertical="center"/>
    </xf>
    <xf numFmtId="0" fontId="91" fillId="0" borderId="27" xfId="2" applyFont="1" applyBorder="1" applyAlignment="1">
      <alignment horizontal="center" vertical="center"/>
    </xf>
    <xf numFmtId="0" fontId="91" fillId="0" borderId="12" xfId="2" applyFont="1" applyBorder="1" applyAlignment="1">
      <alignment horizontal="center" vertical="center"/>
    </xf>
    <xf numFmtId="0" fontId="94" fillId="2" borderId="6" xfId="4" applyFont="1" applyFill="1" applyBorder="1" applyAlignment="1">
      <alignment horizontal="center" vertical="center" wrapText="1"/>
    </xf>
    <xf numFmtId="0" fontId="94" fillId="2" borderId="9" xfId="4" applyFont="1" applyFill="1" applyBorder="1" applyAlignment="1">
      <alignment horizontal="center" vertical="center" wrapText="1"/>
    </xf>
    <xf numFmtId="0" fontId="94" fillId="0" borderId="7" xfId="4" applyFont="1" applyBorder="1" applyAlignment="1">
      <alignment horizontal="left" vertical="center" wrapText="1"/>
    </xf>
    <xf numFmtId="0" fontId="94" fillId="0" borderId="2" xfId="4" applyFont="1" applyBorder="1" applyAlignment="1">
      <alignment horizontal="left" vertical="center" wrapText="1"/>
    </xf>
    <xf numFmtId="0" fontId="94" fillId="0" borderId="10" xfId="4" applyFont="1" applyBorder="1" applyAlignment="1">
      <alignment horizontal="left" vertical="center" wrapText="1"/>
    </xf>
    <xf numFmtId="0" fontId="95" fillId="0" borderId="6" xfId="4" applyFont="1" applyBorder="1" applyAlignment="1">
      <alignment horizontal="center" vertical="center"/>
    </xf>
    <xf numFmtId="0" fontId="95" fillId="0" borderId="9" xfId="4" applyFont="1" applyBorder="1" applyAlignment="1">
      <alignment horizontal="center" vertical="center"/>
    </xf>
    <xf numFmtId="0" fontId="95" fillId="0" borderId="3" xfId="4" applyFont="1" applyBorder="1" applyAlignment="1">
      <alignment horizontal="center" vertical="center"/>
    </xf>
    <xf numFmtId="0" fontId="94" fillId="2" borderId="10" xfId="4" applyFont="1" applyFill="1" applyBorder="1" applyAlignment="1">
      <alignment horizontal="center" vertical="center"/>
    </xf>
    <xf numFmtId="0" fontId="91" fillId="0" borderId="7" xfId="4" applyFont="1" applyBorder="1" applyAlignment="1">
      <alignment horizontal="center" vertical="center"/>
    </xf>
    <xf numFmtId="0" fontId="91" fillId="0" borderId="2" xfId="4" applyFont="1" applyBorder="1" applyAlignment="1">
      <alignment horizontal="center" vertical="center"/>
    </xf>
    <xf numFmtId="0" fontId="91" fillId="0" borderId="10" xfId="4" applyFont="1" applyBorder="1" applyAlignment="1">
      <alignment horizontal="center" vertical="center"/>
    </xf>
    <xf numFmtId="0" fontId="94" fillId="2" borderId="7" xfId="4" applyFont="1" applyFill="1" applyBorder="1" applyAlignment="1">
      <alignment horizontal="center" vertical="center" wrapText="1"/>
    </xf>
    <xf numFmtId="0" fontId="94" fillId="2" borderId="10" xfId="4" applyFont="1" applyFill="1" applyBorder="1" applyAlignment="1">
      <alignment horizontal="center" vertical="center" wrapText="1"/>
    </xf>
    <xf numFmtId="0" fontId="90" fillId="2" borderId="2" xfId="0" applyFont="1" applyFill="1" applyBorder="1" applyAlignment="1">
      <alignment horizontal="center" vertical="center" wrapText="1"/>
    </xf>
    <xf numFmtId="0" fontId="90" fillId="2" borderId="1" xfId="0" applyFont="1" applyFill="1" applyBorder="1" applyAlignment="1">
      <alignment horizontal="center" vertical="center" wrapText="1"/>
    </xf>
    <xf numFmtId="0" fontId="90" fillId="2" borderId="3" xfId="0" applyFont="1" applyFill="1" applyBorder="1" applyAlignment="1">
      <alignment horizontal="center" vertical="center" wrapText="1"/>
    </xf>
    <xf numFmtId="0" fontId="90" fillId="2" borderId="4" xfId="0" applyFont="1" applyFill="1" applyBorder="1" applyAlignment="1">
      <alignment horizontal="center" vertical="center" wrapText="1"/>
    </xf>
    <xf numFmtId="0" fontId="90" fillId="2" borderId="2" xfId="0" applyFont="1" applyFill="1" applyBorder="1" applyAlignment="1">
      <alignment horizontal="center" wrapText="1"/>
    </xf>
  </cellXfs>
  <cellStyles count="31">
    <cellStyle name="Comma" xfId="1" builtinId="3"/>
    <cellStyle name="Comma 2" xfId="7" xr:uid="{00000000-0005-0000-0000-000001000000}"/>
    <cellStyle name="Comma 2 2" xfId="21" xr:uid="{00000000-0005-0000-0000-000002000000}"/>
    <cellStyle name="Comma 3" xfId="14" xr:uid="{00000000-0005-0000-0000-000003000000}"/>
    <cellStyle name="Comma 3 2" xfId="28" xr:uid="{00000000-0005-0000-0000-000004000000}"/>
    <cellStyle name="Comma 4" xfId="17" xr:uid="{00000000-0005-0000-0000-000005000000}"/>
    <cellStyle name="Hyperlink" xfId="30" builtinId="8"/>
    <cellStyle name="Normal" xfId="0" builtinId="0"/>
    <cellStyle name="Normal 10" xfId="16" xr:uid="{00000000-0005-0000-0000-000008000000}"/>
    <cellStyle name="Normal 2" xfId="2" xr:uid="{00000000-0005-0000-0000-000009000000}"/>
    <cellStyle name="Normal 2 2" xfId="4" xr:uid="{00000000-0005-0000-0000-00000A000000}"/>
    <cellStyle name="Normal 2 2 2" xfId="9" xr:uid="{00000000-0005-0000-0000-00000B000000}"/>
    <cellStyle name="Normal 2 2 2 2" xfId="23" xr:uid="{00000000-0005-0000-0000-00000C000000}"/>
    <cellStyle name="Normal 2 2 3" xfId="19" xr:uid="{00000000-0005-0000-0000-00000D000000}"/>
    <cellStyle name="Normal 2 3" xfId="8" xr:uid="{00000000-0005-0000-0000-00000E000000}"/>
    <cellStyle name="Normal 2 3 2" xfId="22" xr:uid="{00000000-0005-0000-0000-00000F000000}"/>
    <cellStyle name="Normal 2 4" xfId="18" xr:uid="{00000000-0005-0000-0000-000010000000}"/>
    <cellStyle name="Normal 3" xfId="3" xr:uid="{00000000-0005-0000-0000-000011000000}"/>
    <cellStyle name="Normal 4" xfId="6" xr:uid="{00000000-0005-0000-0000-000012000000}"/>
    <cellStyle name="Normal 4 2" xfId="20" xr:uid="{00000000-0005-0000-0000-000013000000}"/>
    <cellStyle name="Normal 5" xfId="5" xr:uid="{00000000-0005-0000-0000-000014000000}"/>
    <cellStyle name="Normal 6" xfId="10" xr:uid="{00000000-0005-0000-0000-000015000000}"/>
    <cellStyle name="Normal 6 2" xfId="15" xr:uid="{00000000-0005-0000-0000-000016000000}"/>
    <cellStyle name="Normal 6 2 2" xfId="29" xr:uid="{00000000-0005-0000-0000-000017000000}"/>
    <cellStyle name="Normal 6 3" xfId="24" xr:uid="{00000000-0005-0000-0000-000018000000}"/>
    <cellStyle name="Normal 7" xfId="11" xr:uid="{00000000-0005-0000-0000-000019000000}"/>
    <cellStyle name="Normal 7 2" xfId="25" xr:uid="{00000000-0005-0000-0000-00001A000000}"/>
    <cellStyle name="Normal 8" xfId="12" xr:uid="{00000000-0005-0000-0000-00001B000000}"/>
    <cellStyle name="Normal 8 2" xfId="26" xr:uid="{00000000-0005-0000-0000-00001C000000}"/>
    <cellStyle name="Normal 9" xfId="13" xr:uid="{00000000-0005-0000-0000-00001D000000}"/>
    <cellStyle name="Normal 9 2" xfId="27" xr:uid="{00000000-0005-0000-0000-00001E000000}"/>
  </cellStyles>
  <dxfs count="0"/>
  <tableStyles count="0" defaultTableStyle="TableStyleMedium9" defaultPivotStyle="PivotStyleLight16"/>
  <colors>
    <mruColors>
      <color rgb="FF009900"/>
      <color rgb="FF00CC99"/>
      <color rgb="FF9900CC"/>
      <color rgb="FFFF9900"/>
      <color rgb="FFFF00FF"/>
      <color rgb="FF2F25FB"/>
      <color rgb="FFFF3300"/>
      <color rgb="FF00FF99"/>
      <color rgb="FFFF00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C103"/>
  <sheetViews>
    <sheetView zoomScale="86" zoomScaleNormal="86" workbookViewId="0">
      <pane ySplit="1" topLeftCell="A2" activePane="bottomLeft" state="frozen"/>
      <selection activeCell="N1" sqref="N1:N1048576"/>
      <selection pane="bottomLeft" activeCell="U21" sqref="U21"/>
    </sheetView>
  </sheetViews>
  <sheetFormatPr baseColWidth="10" defaultColWidth="9.1640625" defaultRowHeight="14" x14ac:dyDescent="0.2"/>
  <cols>
    <col min="1" max="1" width="9.83203125" style="413" customWidth="1"/>
    <col min="2" max="2" width="10.6640625" style="167" customWidth="1"/>
    <col min="3" max="3" width="61.33203125" style="251" customWidth="1"/>
    <col min="4" max="4" width="8.5" style="167" customWidth="1"/>
    <col min="5" max="5" width="12" style="167" bestFit="1" customWidth="1"/>
    <col min="6" max="6" width="8.1640625" style="167" bestFit="1" customWidth="1"/>
    <col min="7" max="7" width="8.33203125" style="167" bestFit="1" customWidth="1"/>
    <col min="8" max="9" width="5.1640625" style="167" bestFit="1" customWidth="1"/>
    <col min="10" max="10" width="10" style="167" bestFit="1" customWidth="1"/>
    <col min="11" max="11" width="16" style="167" customWidth="1"/>
    <col min="12" max="12" width="16.5" style="167" bestFit="1" customWidth="1"/>
    <col min="13" max="13" width="106.6640625" style="417" bestFit="1" customWidth="1"/>
    <col min="14" max="14" width="15.5" style="167" bestFit="1" customWidth="1"/>
    <col min="15" max="15" width="16.33203125" style="167" bestFit="1" customWidth="1"/>
    <col min="16" max="16" width="14" style="414" bestFit="1" customWidth="1"/>
    <col min="17" max="17" width="12" style="167" bestFit="1" customWidth="1"/>
    <col min="18" max="18" width="14.5" style="167" customWidth="1"/>
    <col min="19" max="19" width="9.1640625" style="411" customWidth="1"/>
    <col min="20" max="20" width="14.33203125" style="411" bestFit="1" customWidth="1"/>
    <col min="21" max="21" width="10.33203125" style="411" bestFit="1" customWidth="1"/>
    <col min="22" max="1849" width="9.1640625" style="411"/>
    <col min="1850" max="16384" width="9.1640625" style="167"/>
  </cols>
  <sheetData>
    <row r="1" spans="1:1849" s="168" customFormat="1" ht="30" x14ac:dyDescent="0.2">
      <c r="A1" s="276" t="s">
        <v>48</v>
      </c>
      <c r="B1" s="387" t="s">
        <v>75</v>
      </c>
      <c r="C1" s="387" t="s">
        <v>76</v>
      </c>
      <c r="D1" s="387" t="s">
        <v>2</v>
      </c>
      <c r="E1" s="387" t="s">
        <v>3</v>
      </c>
      <c r="F1" s="387" t="s">
        <v>4</v>
      </c>
      <c r="G1" s="387" t="s">
        <v>5</v>
      </c>
      <c r="H1" s="714" t="s">
        <v>564</v>
      </c>
      <c r="I1" s="715"/>
      <c r="J1" s="387" t="s">
        <v>6</v>
      </c>
      <c r="K1" s="387" t="s">
        <v>7</v>
      </c>
      <c r="L1" s="387" t="s">
        <v>889</v>
      </c>
      <c r="M1" s="387" t="s">
        <v>255</v>
      </c>
      <c r="N1" s="525" t="s">
        <v>8</v>
      </c>
      <c r="O1" s="275" t="s">
        <v>9</v>
      </c>
      <c r="P1" s="526" t="s">
        <v>10</v>
      </c>
      <c r="Q1" s="387" t="s">
        <v>11</v>
      </c>
      <c r="R1" s="387" t="s">
        <v>78</v>
      </c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0"/>
      <c r="CO1" s="390"/>
      <c r="CP1" s="390"/>
      <c r="CQ1" s="390"/>
      <c r="CR1" s="390"/>
      <c r="CS1" s="390"/>
      <c r="CT1" s="390"/>
      <c r="CU1" s="390"/>
      <c r="CV1" s="390"/>
      <c r="CW1" s="390"/>
      <c r="CX1" s="390"/>
      <c r="CY1" s="390"/>
      <c r="CZ1" s="390"/>
      <c r="DA1" s="390"/>
      <c r="DB1" s="390"/>
      <c r="DC1" s="390"/>
      <c r="DD1" s="390"/>
      <c r="DE1" s="390"/>
      <c r="DF1" s="390"/>
      <c r="DG1" s="390"/>
      <c r="DH1" s="390"/>
      <c r="DI1" s="390"/>
      <c r="DJ1" s="390"/>
      <c r="DK1" s="390"/>
      <c r="DL1" s="390"/>
      <c r="DM1" s="390"/>
      <c r="DN1" s="390"/>
      <c r="DO1" s="390"/>
      <c r="DP1" s="390"/>
      <c r="DQ1" s="390"/>
      <c r="DR1" s="390"/>
      <c r="DS1" s="390"/>
      <c r="DT1" s="390"/>
      <c r="DU1" s="390"/>
      <c r="DV1" s="390"/>
      <c r="DW1" s="390"/>
      <c r="DX1" s="390"/>
      <c r="DY1" s="390"/>
      <c r="DZ1" s="390"/>
      <c r="EA1" s="390"/>
      <c r="EB1" s="390"/>
      <c r="EC1" s="390"/>
      <c r="ED1" s="390"/>
      <c r="EE1" s="390"/>
      <c r="EF1" s="390"/>
      <c r="EG1" s="390"/>
      <c r="EH1" s="390"/>
      <c r="EI1" s="390"/>
      <c r="EJ1" s="390"/>
      <c r="EK1" s="390"/>
      <c r="EL1" s="390"/>
      <c r="EM1" s="390"/>
      <c r="EN1" s="390"/>
      <c r="EO1" s="390"/>
      <c r="EP1" s="390"/>
      <c r="EQ1" s="390"/>
      <c r="ER1" s="390"/>
      <c r="ES1" s="390"/>
      <c r="ET1" s="390"/>
      <c r="EU1" s="390"/>
      <c r="EV1" s="390"/>
      <c r="EW1" s="390"/>
      <c r="EX1" s="390"/>
      <c r="EY1" s="390"/>
      <c r="EZ1" s="390"/>
      <c r="FA1" s="390"/>
      <c r="FB1" s="390"/>
      <c r="FC1" s="390"/>
      <c r="FD1" s="390"/>
      <c r="FE1" s="390"/>
      <c r="FF1" s="390"/>
      <c r="FG1" s="390"/>
      <c r="FH1" s="390"/>
      <c r="FI1" s="390"/>
      <c r="FJ1" s="390"/>
      <c r="FK1" s="390"/>
      <c r="FL1" s="390"/>
      <c r="FM1" s="390"/>
      <c r="FN1" s="390"/>
      <c r="FO1" s="390"/>
      <c r="FP1" s="390"/>
      <c r="FQ1" s="390"/>
      <c r="FR1" s="390"/>
      <c r="FS1" s="390"/>
      <c r="FT1" s="390"/>
      <c r="FU1" s="390"/>
      <c r="FV1" s="390"/>
      <c r="FW1" s="390"/>
      <c r="FX1" s="390"/>
      <c r="FY1" s="390"/>
      <c r="FZ1" s="390"/>
      <c r="GA1" s="390"/>
      <c r="GB1" s="390"/>
      <c r="GC1" s="390"/>
      <c r="GD1" s="390"/>
      <c r="GE1" s="390"/>
      <c r="GF1" s="390"/>
      <c r="GG1" s="390"/>
      <c r="GH1" s="390"/>
      <c r="GI1" s="390"/>
      <c r="GJ1" s="390"/>
      <c r="GK1" s="390"/>
      <c r="GL1" s="390"/>
      <c r="GM1" s="390"/>
      <c r="GN1" s="390"/>
      <c r="GO1" s="390"/>
      <c r="GP1" s="390"/>
      <c r="GQ1" s="390"/>
      <c r="GR1" s="390"/>
      <c r="GS1" s="390"/>
      <c r="GT1" s="390"/>
      <c r="GU1" s="390"/>
      <c r="GV1" s="390"/>
      <c r="GW1" s="390"/>
      <c r="GX1" s="390"/>
      <c r="GY1" s="390"/>
      <c r="GZ1" s="390"/>
      <c r="HA1" s="390"/>
      <c r="HB1" s="390"/>
      <c r="HC1" s="390"/>
      <c r="HD1" s="390"/>
      <c r="HE1" s="390"/>
      <c r="HF1" s="390"/>
      <c r="HG1" s="390"/>
      <c r="HH1" s="390"/>
      <c r="HI1" s="390"/>
      <c r="HJ1" s="390"/>
      <c r="HK1" s="390"/>
      <c r="HL1" s="390"/>
      <c r="HM1" s="390"/>
      <c r="HN1" s="390"/>
      <c r="HO1" s="390"/>
      <c r="HP1" s="390"/>
      <c r="HQ1" s="390"/>
      <c r="HR1" s="390"/>
      <c r="HS1" s="390"/>
      <c r="HT1" s="390"/>
      <c r="HU1" s="390"/>
      <c r="HV1" s="390"/>
      <c r="HW1" s="390"/>
      <c r="HX1" s="390"/>
      <c r="HY1" s="390"/>
      <c r="HZ1" s="390"/>
      <c r="IA1" s="390"/>
      <c r="IB1" s="390"/>
      <c r="IC1" s="390"/>
      <c r="ID1" s="390"/>
      <c r="IE1" s="390"/>
      <c r="IF1" s="390"/>
      <c r="IG1" s="390"/>
      <c r="IH1" s="390"/>
      <c r="II1" s="390"/>
      <c r="IJ1" s="390"/>
      <c r="IK1" s="390"/>
      <c r="IL1" s="390"/>
      <c r="IM1" s="390"/>
      <c r="IN1" s="390"/>
      <c r="IO1" s="390"/>
      <c r="IP1" s="390"/>
      <c r="IQ1" s="390"/>
      <c r="IR1" s="390"/>
      <c r="IS1" s="390"/>
      <c r="IT1" s="390"/>
      <c r="IU1" s="390"/>
      <c r="IV1" s="390"/>
      <c r="IW1" s="390"/>
      <c r="IX1" s="390"/>
      <c r="IY1" s="390"/>
      <c r="IZ1" s="390"/>
      <c r="JA1" s="390"/>
      <c r="JB1" s="390"/>
      <c r="JC1" s="390"/>
      <c r="JD1" s="390"/>
      <c r="JE1" s="390"/>
      <c r="JF1" s="390"/>
      <c r="JG1" s="390"/>
      <c r="JH1" s="390"/>
      <c r="JI1" s="390"/>
      <c r="JJ1" s="390"/>
      <c r="JK1" s="390"/>
      <c r="JL1" s="390"/>
      <c r="JM1" s="390"/>
      <c r="JN1" s="390"/>
      <c r="JO1" s="390"/>
      <c r="JP1" s="390"/>
      <c r="JQ1" s="390"/>
      <c r="JR1" s="390"/>
      <c r="JS1" s="390"/>
      <c r="JT1" s="390"/>
      <c r="JU1" s="390"/>
      <c r="JV1" s="390"/>
      <c r="JW1" s="390"/>
      <c r="JX1" s="390"/>
      <c r="JY1" s="390"/>
      <c r="JZ1" s="390"/>
      <c r="KA1" s="390"/>
      <c r="KB1" s="390"/>
      <c r="KC1" s="390"/>
      <c r="KD1" s="390"/>
      <c r="KE1" s="390"/>
      <c r="KF1" s="390"/>
      <c r="KG1" s="390"/>
      <c r="KH1" s="390"/>
      <c r="KI1" s="390"/>
      <c r="KJ1" s="390"/>
      <c r="KK1" s="390"/>
      <c r="KL1" s="390"/>
      <c r="KM1" s="390"/>
      <c r="KN1" s="390"/>
      <c r="KO1" s="390"/>
      <c r="KP1" s="390"/>
      <c r="KQ1" s="390"/>
      <c r="KR1" s="390"/>
      <c r="KS1" s="390"/>
      <c r="KT1" s="390"/>
      <c r="KU1" s="390"/>
      <c r="KV1" s="390"/>
      <c r="KW1" s="390"/>
      <c r="KX1" s="390"/>
      <c r="KY1" s="390"/>
      <c r="KZ1" s="390"/>
      <c r="LA1" s="390"/>
      <c r="LB1" s="390"/>
      <c r="LC1" s="390"/>
      <c r="LD1" s="390"/>
      <c r="LE1" s="390"/>
      <c r="LF1" s="390"/>
      <c r="LG1" s="390"/>
      <c r="LH1" s="390"/>
      <c r="LI1" s="390"/>
      <c r="LJ1" s="390"/>
      <c r="LK1" s="390"/>
      <c r="LL1" s="390"/>
      <c r="LM1" s="390"/>
      <c r="LN1" s="390"/>
      <c r="LO1" s="390"/>
      <c r="LP1" s="390"/>
      <c r="LQ1" s="390"/>
      <c r="LR1" s="390"/>
      <c r="LS1" s="390"/>
      <c r="LT1" s="390"/>
      <c r="LU1" s="390"/>
      <c r="LV1" s="390"/>
      <c r="LW1" s="390"/>
      <c r="LX1" s="390"/>
      <c r="LY1" s="390"/>
      <c r="LZ1" s="390"/>
      <c r="MA1" s="390"/>
      <c r="MB1" s="390"/>
      <c r="MC1" s="390"/>
      <c r="MD1" s="390"/>
      <c r="ME1" s="390"/>
      <c r="MF1" s="390"/>
      <c r="MG1" s="390"/>
      <c r="MH1" s="390"/>
      <c r="MI1" s="390"/>
      <c r="MJ1" s="390"/>
      <c r="MK1" s="390"/>
      <c r="ML1" s="390"/>
      <c r="MM1" s="390"/>
      <c r="MN1" s="390"/>
      <c r="MO1" s="390"/>
      <c r="MP1" s="390"/>
      <c r="MQ1" s="390"/>
      <c r="MR1" s="390"/>
      <c r="MS1" s="390"/>
      <c r="MT1" s="390"/>
      <c r="MU1" s="390"/>
      <c r="MV1" s="390"/>
      <c r="MW1" s="390"/>
      <c r="MX1" s="390"/>
      <c r="MY1" s="390"/>
      <c r="MZ1" s="390"/>
      <c r="NA1" s="390"/>
      <c r="NB1" s="390"/>
      <c r="NC1" s="390"/>
      <c r="ND1" s="390"/>
      <c r="NE1" s="390"/>
      <c r="NF1" s="390"/>
      <c r="NG1" s="390"/>
      <c r="NH1" s="390"/>
      <c r="NI1" s="390"/>
      <c r="NJ1" s="390"/>
      <c r="NK1" s="390"/>
      <c r="NL1" s="390"/>
      <c r="NM1" s="390"/>
      <c r="NN1" s="390"/>
      <c r="NO1" s="390"/>
      <c r="NP1" s="390"/>
      <c r="NQ1" s="390"/>
      <c r="NR1" s="390"/>
      <c r="NS1" s="390"/>
      <c r="NT1" s="390"/>
      <c r="NU1" s="390"/>
      <c r="NV1" s="390"/>
      <c r="NW1" s="390"/>
      <c r="NX1" s="390"/>
      <c r="NY1" s="390"/>
      <c r="NZ1" s="390"/>
      <c r="OA1" s="390"/>
      <c r="OB1" s="390"/>
      <c r="OC1" s="390"/>
      <c r="OD1" s="390"/>
      <c r="OE1" s="390"/>
      <c r="OF1" s="390"/>
      <c r="OG1" s="390"/>
      <c r="OH1" s="390"/>
      <c r="OI1" s="390"/>
      <c r="OJ1" s="390"/>
      <c r="OK1" s="390"/>
      <c r="OL1" s="390"/>
      <c r="OM1" s="390"/>
      <c r="ON1" s="390"/>
      <c r="OO1" s="390"/>
      <c r="OP1" s="390"/>
      <c r="OQ1" s="390"/>
      <c r="OR1" s="390"/>
      <c r="OS1" s="390"/>
      <c r="OT1" s="390"/>
      <c r="OU1" s="390"/>
      <c r="OV1" s="390"/>
      <c r="OW1" s="390"/>
      <c r="OX1" s="390"/>
      <c r="OY1" s="390"/>
      <c r="OZ1" s="390"/>
      <c r="PA1" s="390"/>
      <c r="PB1" s="390"/>
      <c r="PC1" s="390"/>
      <c r="PD1" s="390"/>
      <c r="PE1" s="390"/>
      <c r="PF1" s="390"/>
      <c r="PG1" s="390"/>
      <c r="PH1" s="390"/>
      <c r="PI1" s="390"/>
      <c r="PJ1" s="390"/>
      <c r="PK1" s="390"/>
      <c r="PL1" s="390"/>
      <c r="PM1" s="390"/>
      <c r="PN1" s="390"/>
      <c r="PO1" s="390"/>
      <c r="PP1" s="390"/>
      <c r="PQ1" s="390"/>
      <c r="PR1" s="390"/>
      <c r="PS1" s="390"/>
      <c r="PT1" s="390"/>
      <c r="PU1" s="390"/>
      <c r="PV1" s="390"/>
      <c r="PW1" s="390"/>
      <c r="PX1" s="390"/>
      <c r="PY1" s="390"/>
      <c r="PZ1" s="390"/>
      <c r="QA1" s="390"/>
      <c r="QB1" s="390"/>
      <c r="QC1" s="390"/>
      <c r="QD1" s="390"/>
      <c r="QE1" s="390"/>
      <c r="QF1" s="390"/>
      <c r="QG1" s="390"/>
      <c r="QH1" s="390"/>
      <c r="QI1" s="390"/>
      <c r="QJ1" s="390"/>
      <c r="QK1" s="390"/>
      <c r="QL1" s="390"/>
      <c r="QM1" s="390"/>
      <c r="QN1" s="390"/>
      <c r="QO1" s="390"/>
      <c r="QP1" s="390"/>
      <c r="QQ1" s="390"/>
      <c r="QR1" s="390"/>
      <c r="QS1" s="390"/>
      <c r="QT1" s="390"/>
      <c r="QU1" s="390"/>
      <c r="QV1" s="390"/>
      <c r="QW1" s="390"/>
      <c r="QX1" s="390"/>
      <c r="QY1" s="390"/>
      <c r="QZ1" s="390"/>
      <c r="RA1" s="390"/>
      <c r="RB1" s="390"/>
      <c r="RC1" s="390"/>
      <c r="RD1" s="390"/>
      <c r="RE1" s="390"/>
      <c r="RF1" s="390"/>
      <c r="RG1" s="390"/>
      <c r="RH1" s="390"/>
      <c r="RI1" s="390"/>
      <c r="RJ1" s="390"/>
      <c r="RK1" s="390"/>
      <c r="RL1" s="390"/>
      <c r="RM1" s="390"/>
      <c r="RN1" s="390"/>
      <c r="RO1" s="390"/>
      <c r="RP1" s="390"/>
      <c r="RQ1" s="390"/>
      <c r="RR1" s="390"/>
      <c r="RS1" s="390"/>
      <c r="RT1" s="390"/>
      <c r="RU1" s="390"/>
      <c r="RV1" s="390"/>
      <c r="RW1" s="390"/>
      <c r="RX1" s="390"/>
      <c r="RY1" s="390"/>
      <c r="RZ1" s="390"/>
      <c r="SA1" s="390"/>
      <c r="SB1" s="390"/>
      <c r="SC1" s="390"/>
      <c r="SD1" s="390"/>
      <c r="SE1" s="390"/>
      <c r="SF1" s="390"/>
      <c r="SG1" s="390"/>
      <c r="SH1" s="390"/>
      <c r="SI1" s="390"/>
      <c r="SJ1" s="390"/>
      <c r="SK1" s="390"/>
      <c r="SL1" s="390"/>
      <c r="SM1" s="390"/>
      <c r="SN1" s="390"/>
      <c r="SO1" s="390"/>
      <c r="SP1" s="390"/>
      <c r="SQ1" s="390"/>
      <c r="SR1" s="390"/>
      <c r="SS1" s="390"/>
      <c r="ST1" s="390"/>
      <c r="SU1" s="390"/>
      <c r="SV1" s="390"/>
      <c r="SW1" s="390"/>
      <c r="SX1" s="390"/>
      <c r="SY1" s="390"/>
      <c r="SZ1" s="390"/>
      <c r="TA1" s="390"/>
      <c r="TB1" s="390"/>
      <c r="TC1" s="390"/>
      <c r="TD1" s="390"/>
      <c r="TE1" s="390"/>
      <c r="TF1" s="390"/>
      <c r="TG1" s="390"/>
      <c r="TH1" s="390"/>
      <c r="TI1" s="390"/>
      <c r="TJ1" s="390"/>
      <c r="TK1" s="390"/>
      <c r="TL1" s="390"/>
      <c r="TM1" s="390"/>
      <c r="TN1" s="390"/>
      <c r="TO1" s="390"/>
      <c r="TP1" s="390"/>
      <c r="TQ1" s="390"/>
      <c r="TR1" s="390"/>
      <c r="TS1" s="390"/>
      <c r="TT1" s="390"/>
      <c r="TU1" s="390"/>
      <c r="TV1" s="390"/>
      <c r="TW1" s="390"/>
      <c r="TX1" s="390"/>
      <c r="TY1" s="390"/>
      <c r="TZ1" s="390"/>
      <c r="UA1" s="390"/>
      <c r="UB1" s="390"/>
      <c r="UC1" s="390"/>
      <c r="UD1" s="390"/>
      <c r="UE1" s="390"/>
      <c r="UF1" s="390"/>
      <c r="UG1" s="390"/>
      <c r="UH1" s="390"/>
      <c r="UI1" s="390"/>
      <c r="UJ1" s="390"/>
      <c r="UK1" s="390"/>
      <c r="UL1" s="390"/>
      <c r="UM1" s="390"/>
      <c r="UN1" s="390"/>
      <c r="UO1" s="390"/>
      <c r="UP1" s="390"/>
      <c r="UQ1" s="390"/>
      <c r="UR1" s="390"/>
      <c r="US1" s="390"/>
      <c r="UT1" s="390"/>
      <c r="UU1" s="390"/>
      <c r="UV1" s="390"/>
      <c r="UW1" s="390"/>
      <c r="UX1" s="390"/>
      <c r="UY1" s="390"/>
      <c r="UZ1" s="390"/>
      <c r="VA1" s="390"/>
      <c r="VB1" s="390"/>
      <c r="VC1" s="390"/>
      <c r="VD1" s="390"/>
      <c r="VE1" s="390"/>
      <c r="VF1" s="390"/>
      <c r="VG1" s="390"/>
      <c r="VH1" s="390"/>
      <c r="VI1" s="390"/>
      <c r="VJ1" s="390"/>
      <c r="VK1" s="390"/>
      <c r="VL1" s="390"/>
      <c r="VM1" s="390"/>
      <c r="VN1" s="390"/>
      <c r="VO1" s="390"/>
      <c r="VP1" s="390"/>
      <c r="VQ1" s="390"/>
      <c r="VR1" s="390"/>
      <c r="VS1" s="390"/>
      <c r="VT1" s="390"/>
      <c r="VU1" s="390"/>
      <c r="VV1" s="390"/>
      <c r="VW1" s="390"/>
      <c r="VX1" s="390"/>
      <c r="VY1" s="390"/>
      <c r="VZ1" s="390"/>
      <c r="WA1" s="390"/>
      <c r="WB1" s="390"/>
      <c r="WC1" s="390"/>
      <c r="WD1" s="390"/>
      <c r="WE1" s="390"/>
      <c r="WF1" s="390"/>
      <c r="WG1" s="390"/>
      <c r="WH1" s="390"/>
      <c r="WI1" s="390"/>
      <c r="WJ1" s="390"/>
      <c r="WK1" s="390"/>
      <c r="WL1" s="390"/>
      <c r="WM1" s="390"/>
      <c r="WN1" s="390"/>
      <c r="WO1" s="390"/>
      <c r="WP1" s="390"/>
      <c r="WQ1" s="390"/>
      <c r="WR1" s="390"/>
      <c r="WS1" s="390"/>
      <c r="WT1" s="390"/>
      <c r="WU1" s="390"/>
      <c r="WV1" s="390"/>
      <c r="WW1" s="390"/>
      <c r="WX1" s="390"/>
      <c r="WY1" s="390"/>
      <c r="WZ1" s="390"/>
      <c r="XA1" s="390"/>
      <c r="XB1" s="390"/>
      <c r="XC1" s="390"/>
      <c r="XD1" s="390"/>
      <c r="XE1" s="390"/>
      <c r="XF1" s="390"/>
      <c r="XG1" s="390"/>
      <c r="XH1" s="390"/>
      <c r="XI1" s="390"/>
      <c r="XJ1" s="390"/>
      <c r="XK1" s="390"/>
      <c r="XL1" s="390"/>
      <c r="XM1" s="390"/>
      <c r="XN1" s="390"/>
      <c r="XO1" s="390"/>
      <c r="XP1" s="390"/>
      <c r="XQ1" s="390"/>
      <c r="XR1" s="390"/>
      <c r="XS1" s="390"/>
      <c r="XT1" s="390"/>
      <c r="XU1" s="390"/>
      <c r="XV1" s="390"/>
      <c r="XW1" s="390"/>
      <c r="XX1" s="390"/>
      <c r="XY1" s="390"/>
      <c r="XZ1" s="390"/>
      <c r="YA1" s="390"/>
      <c r="YB1" s="390"/>
      <c r="YC1" s="390"/>
      <c r="YD1" s="390"/>
      <c r="YE1" s="390"/>
      <c r="YF1" s="390"/>
      <c r="YG1" s="390"/>
      <c r="YH1" s="390"/>
      <c r="YI1" s="390"/>
      <c r="YJ1" s="390"/>
      <c r="YK1" s="390"/>
      <c r="YL1" s="390"/>
      <c r="YM1" s="390"/>
      <c r="YN1" s="390"/>
      <c r="YO1" s="390"/>
      <c r="YP1" s="390"/>
      <c r="YQ1" s="390"/>
      <c r="YR1" s="390"/>
      <c r="YS1" s="390"/>
      <c r="YT1" s="390"/>
      <c r="YU1" s="390"/>
      <c r="YV1" s="390"/>
      <c r="YW1" s="390"/>
      <c r="YX1" s="390"/>
      <c r="YY1" s="390"/>
      <c r="YZ1" s="390"/>
      <c r="ZA1" s="390"/>
      <c r="ZB1" s="390"/>
      <c r="ZC1" s="390"/>
      <c r="ZD1" s="390"/>
      <c r="ZE1" s="390"/>
      <c r="ZF1" s="390"/>
      <c r="ZG1" s="390"/>
      <c r="ZH1" s="390"/>
      <c r="ZI1" s="390"/>
      <c r="ZJ1" s="390"/>
      <c r="ZK1" s="390"/>
      <c r="ZL1" s="390"/>
      <c r="ZM1" s="390"/>
      <c r="ZN1" s="390"/>
      <c r="ZO1" s="390"/>
      <c r="ZP1" s="390"/>
      <c r="ZQ1" s="390"/>
      <c r="ZR1" s="390"/>
      <c r="ZS1" s="390"/>
      <c r="ZT1" s="390"/>
      <c r="ZU1" s="390"/>
      <c r="ZV1" s="390"/>
      <c r="ZW1" s="390"/>
      <c r="ZX1" s="390"/>
      <c r="ZY1" s="390"/>
      <c r="ZZ1" s="390"/>
      <c r="AAA1" s="390"/>
      <c r="AAB1" s="390"/>
      <c r="AAC1" s="390"/>
      <c r="AAD1" s="390"/>
      <c r="AAE1" s="390"/>
      <c r="AAF1" s="390"/>
      <c r="AAG1" s="390"/>
      <c r="AAH1" s="390"/>
      <c r="AAI1" s="390"/>
      <c r="AAJ1" s="390"/>
      <c r="AAK1" s="390"/>
      <c r="AAL1" s="390"/>
      <c r="AAM1" s="390"/>
      <c r="AAN1" s="390"/>
      <c r="AAO1" s="390"/>
      <c r="AAP1" s="390"/>
      <c r="AAQ1" s="390"/>
      <c r="AAR1" s="390"/>
      <c r="AAS1" s="390"/>
      <c r="AAT1" s="390"/>
      <c r="AAU1" s="390"/>
      <c r="AAV1" s="390"/>
      <c r="AAW1" s="390"/>
      <c r="AAX1" s="390"/>
      <c r="AAY1" s="390"/>
      <c r="AAZ1" s="390"/>
      <c r="ABA1" s="390"/>
      <c r="ABB1" s="390"/>
      <c r="ABC1" s="390"/>
      <c r="ABD1" s="390"/>
      <c r="ABE1" s="390"/>
      <c r="ABF1" s="390"/>
      <c r="ABG1" s="390"/>
      <c r="ABH1" s="390"/>
      <c r="ABI1" s="390"/>
      <c r="ABJ1" s="390"/>
      <c r="ABK1" s="390"/>
      <c r="ABL1" s="390"/>
      <c r="ABM1" s="390"/>
      <c r="ABN1" s="390"/>
      <c r="ABO1" s="390"/>
      <c r="ABP1" s="390"/>
      <c r="ABQ1" s="390"/>
      <c r="ABR1" s="390"/>
      <c r="ABS1" s="390"/>
      <c r="ABT1" s="390"/>
      <c r="ABU1" s="390"/>
      <c r="ABV1" s="390"/>
      <c r="ABW1" s="390"/>
      <c r="ABX1" s="390"/>
      <c r="ABY1" s="390"/>
      <c r="ABZ1" s="390"/>
      <c r="ACA1" s="390"/>
      <c r="ACB1" s="390"/>
      <c r="ACC1" s="390"/>
      <c r="ACD1" s="390"/>
      <c r="ACE1" s="390"/>
      <c r="ACF1" s="390"/>
      <c r="ACG1" s="390"/>
      <c r="ACH1" s="390"/>
      <c r="ACI1" s="390"/>
      <c r="ACJ1" s="390"/>
      <c r="ACK1" s="390"/>
      <c r="ACL1" s="390"/>
      <c r="ACM1" s="390"/>
      <c r="ACN1" s="390"/>
      <c r="ACO1" s="390"/>
      <c r="ACP1" s="390"/>
      <c r="ACQ1" s="390"/>
      <c r="ACR1" s="390"/>
      <c r="ACS1" s="390"/>
      <c r="ACT1" s="390"/>
      <c r="ACU1" s="390"/>
      <c r="ACV1" s="390"/>
      <c r="ACW1" s="390"/>
      <c r="ACX1" s="390"/>
      <c r="ACY1" s="390"/>
      <c r="ACZ1" s="390"/>
      <c r="ADA1" s="390"/>
      <c r="ADB1" s="390"/>
      <c r="ADC1" s="390"/>
      <c r="ADD1" s="390"/>
      <c r="ADE1" s="390"/>
      <c r="ADF1" s="390"/>
      <c r="ADG1" s="390"/>
      <c r="ADH1" s="390"/>
      <c r="ADI1" s="390"/>
      <c r="ADJ1" s="390"/>
      <c r="ADK1" s="390"/>
      <c r="ADL1" s="390"/>
      <c r="ADM1" s="390"/>
      <c r="ADN1" s="390"/>
      <c r="ADO1" s="390"/>
      <c r="ADP1" s="390"/>
      <c r="ADQ1" s="390"/>
      <c r="ADR1" s="390"/>
      <c r="ADS1" s="390"/>
      <c r="ADT1" s="390"/>
      <c r="ADU1" s="390"/>
      <c r="ADV1" s="390"/>
      <c r="ADW1" s="390"/>
      <c r="ADX1" s="390"/>
      <c r="ADY1" s="390"/>
      <c r="ADZ1" s="390"/>
      <c r="AEA1" s="390"/>
      <c r="AEB1" s="390"/>
      <c r="AEC1" s="390"/>
      <c r="AED1" s="390"/>
      <c r="AEE1" s="390"/>
      <c r="AEF1" s="390"/>
      <c r="AEG1" s="390"/>
      <c r="AEH1" s="390"/>
      <c r="AEI1" s="390"/>
      <c r="AEJ1" s="390"/>
      <c r="AEK1" s="390"/>
      <c r="AEL1" s="390"/>
      <c r="AEM1" s="390"/>
      <c r="AEN1" s="390"/>
      <c r="AEO1" s="390"/>
      <c r="AEP1" s="390"/>
      <c r="AEQ1" s="390"/>
      <c r="AER1" s="390"/>
      <c r="AES1" s="390"/>
      <c r="AET1" s="390"/>
      <c r="AEU1" s="390"/>
      <c r="AEV1" s="390"/>
      <c r="AEW1" s="390"/>
      <c r="AEX1" s="390"/>
      <c r="AEY1" s="390"/>
      <c r="AEZ1" s="390"/>
      <c r="AFA1" s="390"/>
      <c r="AFB1" s="390"/>
      <c r="AFC1" s="390"/>
      <c r="AFD1" s="390"/>
      <c r="AFE1" s="390"/>
      <c r="AFF1" s="390"/>
      <c r="AFG1" s="390"/>
      <c r="AFH1" s="390"/>
      <c r="AFI1" s="390"/>
      <c r="AFJ1" s="390"/>
      <c r="AFK1" s="390"/>
      <c r="AFL1" s="390"/>
      <c r="AFM1" s="390"/>
      <c r="AFN1" s="390"/>
      <c r="AFO1" s="390"/>
      <c r="AFP1" s="390"/>
      <c r="AFQ1" s="390"/>
      <c r="AFR1" s="390"/>
      <c r="AFS1" s="390"/>
      <c r="AFT1" s="390"/>
      <c r="AFU1" s="390"/>
      <c r="AFV1" s="390"/>
      <c r="AFW1" s="390"/>
      <c r="AFX1" s="390"/>
      <c r="AFY1" s="390"/>
      <c r="AFZ1" s="390"/>
      <c r="AGA1" s="390"/>
      <c r="AGB1" s="390"/>
      <c r="AGC1" s="390"/>
      <c r="AGD1" s="390"/>
      <c r="AGE1" s="390"/>
      <c r="AGF1" s="390"/>
      <c r="AGG1" s="390"/>
      <c r="AGH1" s="390"/>
      <c r="AGI1" s="390"/>
      <c r="AGJ1" s="390"/>
      <c r="AGK1" s="390"/>
      <c r="AGL1" s="390"/>
      <c r="AGM1" s="390"/>
      <c r="AGN1" s="390"/>
      <c r="AGO1" s="390"/>
      <c r="AGP1" s="390"/>
      <c r="AGQ1" s="390"/>
      <c r="AGR1" s="390"/>
      <c r="AGS1" s="390"/>
      <c r="AGT1" s="390"/>
      <c r="AGU1" s="390"/>
      <c r="AGV1" s="390"/>
      <c r="AGW1" s="390"/>
      <c r="AGX1" s="390"/>
      <c r="AGY1" s="390"/>
      <c r="AGZ1" s="390"/>
      <c r="AHA1" s="390"/>
      <c r="AHB1" s="390"/>
      <c r="AHC1" s="390"/>
      <c r="AHD1" s="390"/>
      <c r="AHE1" s="390"/>
      <c r="AHF1" s="390"/>
      <c r="AHG1" s="390"/>
      <c r="AHH1" s="390"/>
      <c r="AHI1" s="390"/>
      <c r="AHJ1" s="390"/>
      <c r="AHK1" s="390"/>
      <c r="AHL1" s="390"/>
      <c r="AHM1" s="390"/>
      <c r="AHN1" s="390"/>
      <c r="AHO1" s="390"/>
      <c r="AHP1" s="390"/>
      <c r="AHQ1" s="390"/>
      <c r="AHR1" s="390"/>
      <c r="AHS1" s="390"/>
      <c r="AHT1" s="390"/>
      <c r="AHU1" s="390"/>
      <c r="AHV1" s="390"/>
      <c r="AHW1" s="390"/>
      <c r="AHX1" s="390"/>
      <c r="AHY1" s="390"/>
      <c r="AHZ1" s="390"/>
      <c r="AIA1" s="390"/>
      <c r="AIB1" s="390"/>
      <c r="AIC1" s="390"/>
      <c r="AID1" s="390"/>
      <c r="AIE1" s="390"/>
      <c r="AIF1" s="390"/>
      <c r="AIG1" s="390"/>
      <c r="AIH1" s="390"/>
      <c r="AII1" s="390"/>
      <c r="AIJ1" s="390"/>
      <c r="AIK1" s="390"/>
      <c r="AIL1" s="390"/>
      <c r="AIM1" s="390"/>
      <c r="AIN1" s="390"/>
      <c r="AIO1" s="390"/>
      <c r="AIP1" s="390"/>
      <c r="AIQ1" s="390"/>
      <c r="AIR1" s="390"/>
      <c r="AIS1" s="390"/>
      <c r="AIT1" s="390"/>
      <c r="AIU1" s="390"/>
      <c r="AIV1" s="390"/>
      <c r="AIW1" s="390"/>
      <c r="AIX1" s="390"/>
      <c r="AIY1" s="390"/>
      <c r="AIZ1" s="390"/>
      <c r="AJA1" s="390"/>
      <c r="AJB1" s="390"/>
      <c r="AJC1" s="390"/>
      <c r="AJD1" s="390"/>
      <c r="AJE1" s="390"/>
      <c r="AJF1" s="390"/>
      <c r="AJG1" s="390"/>
      <c r="AJH1" s="390"/>
      <c r="AJI1" s="390"/>
      <c r="AJJ1" s="390"/>
      <c r="AJK1" s="390"/>
      <c r="AJL1" s="390"/>
      <c r="AJM1" s="390"/>
      <c r="AJN1" s="390"/>
      <c r="AJO1" s="390"/>
      <c r="AJP1" s="390"/>
      <c r="AJQ1" s="390"/>
      <c r="AJR1" s="390"/>
      <c r="AJS1" s="390"/>
      <c r="AJT1" s="390"/>
      <c r="AJU1" s="390"/>
      <c r="AJV1" s="390"/>
      <c r="AJW1" s="390"/>
      <c r="AJX1" s="390"/>
      <c r="AJY1" s="390"/>
      <c r="AJZ1" s="390"/>
      <c r="AKA1" s="390"/>
      <c r="AKB1" s="390"/>
      <c r="AKC1" s="390"/>
      <c r="AKD1" s="390"/>
      <c r="AKE1" s="390"/>
      <c r="AKF1" s="390"/>
      <c r="AKG1" s="390"/>
      <c r="AKH1" s="390"/>
      <c r="AKI1" s="390"/>
      <c r="AKJ1" s="390"/>
      <c r="AKK1" s="390"/>
      <c r="AKL1" s="390"/>
      <c r="AKM1" s="390"/>
      <c r="AKN1" s="390"/>
      <c r="AKO1" s="390"/>
      <c r="AKP1" s="390"/>
      <c r="AKQ1" s="390"/>
      <c r="AKR1" s="390"/>
      <c r="AKS1" s="390"/>
      <c r="AKT1" s="390"/>
      <c r="AKU1" s="390"/>
      <c r="AKV1" s="390"/>
      <c r="AKW1" s="390"/>
      <c r="AKX1" s="390"/>
      <c r="AKY1" s="390"/>
      <c r="AKZ1" s="390"/>
      <c r="ALA1" s="390"/>
      <c r="ALB1" s="390"/>
      <c r="ALC1" s="390"/>
      <c r="ALD1" s="390"/>
      <c r="ALE1" s="390"/>
      <c r="ALF1" s="390"/>
      <c r="ALG1" s="390"/>
      <c r="ALH1" s="390"/>
      <c r="ALI1" s="390"/>
      <c r="ALJ1" s="390"/>
      <c r="ALK1" s="390"/>
      <c r="ALL1" s="390"/>
      <c r="ALM1" s="390"/>
      <c r="ALN1" s="390"/>
      <c r="ALO1" s="390"/>
      <c r="ALP1" s="390"/>
      <c r="ALQ1" s="390"/>
      <c r="ALR1" s="390"/>
      <c r="ALS1" s="390"/>
      <c r="ALT1" s="390"/>
      <c r="ALU1" s="390"/>
      <c r="ALV1" s="390"/>
      <c r="ALW1" s="390"/>
      <c r="ALX1" s="390"/>
      <c r="ALY1" s="390"/>
      <c r="ALZ1" s="390"/>
      <c r="AMA1" s="390"/>
      <c r="AMB1" s="390"/>
      <c r="AMC1" s="390"/>
      <c r="AMD1" s="390"/>
      <c r="AME1" s="390"/>
      <c r="AMF1" s="390"/>
      <c r="AMG1" s="390"/>
      <c r="AMH1" s="390"/>
      <c r="AMI1" s="390"/>
      <c r="AMJ1" s="390"/>
      <c r="AMK1" s="390"/>
      <c r="AML1" s="390"/>
      <c r="AMM1" s="390"/>
      <c r="AMN1" s="390"/>
      <c r="AMO1" s="390"/>
      <c r="AMP1" s="390"/>
      <c r="AMQ1" s="390"/>
      <c r="AMR1" s="390"/>
      <c r="AMS1" s="390"/>
      <c r="AMT1" s="390"/>
      <c r="AMU1" s="390"/>
      <c r="AMV1" s="390"/>
      <c r="AMW1" s="390"/>
      <c r="AMX1" s="390"/>
      <c r="AMY1" s="390"/>
      <c r="AMZ1" s="390"/>
      <c r="ANA1" s="390"/>
      <c r="ANB1" s="390"/>
      <c r="ANC1" s="390"/>
      <c r="AND1" s="390"/>
      <c r="ANE1" s="390"/>
      <c r="ANF1" s="390"/>
      <c r="ANG1" s="390"/>
      <c r="ANH1" s="390"/>
      <c r="ANI1" s="390"/>
      <c r="ANJ1" s="390"/>
      <c r="ANK1" s="390"/>
      <c r="ANL1" s="390"/>
      <c r="ANM1" s="390"/>
      <c r="ANN1" s="390"/>
      <c r="ANO1" s="390"/>
      <c r="ANP1" s="390"/>
      <c r="ANQ1" s="390"/>
      <c r="ANR1" s="390"/>
      <c r="ANS1" s="390"/>
      <c r="ANT1" s="390"/>
      <c r="ANU1" s="390"/>
      <c r="ANV1" s="390"/>
      <c r="ANW1" s="390"/>
      <c r="ANX1" s="390"/>
      <c r="ANY1" s="390"/>
      <c r="ANZ1" s="390"/>
      <c r="AOA1" s="390"/>
      <c r="AOB1" s="390"/>
      <c r="AOC1" s="390"/>
      <c r="AOD1" s="390"/>
      <c r="AOE1" s="390"/>
      <c r="AOF1" s="390"/>
      <c r="AOG1" s="390"/>
      <c r="AOH1" s="390"/>
      <c r="AOI1" s="390"/>
      <c r="AOJ1" s="390"/>
      <c r="AOK1" s="390"/>
      <c r="AOL1" s="390"/>
      <c r="AOM1" s="390"/>
      <c r="AON1" s="390"/>
      <c r="AOO1" s="390"/>
      <c r="AOP1" s="390"/>
      <c r="AOQ1" s="390"/>
      <c r="AOR1" s="390"/>
      <c r="AOS1" s="390"/>
      <c r="AOT1" s="390"/>
      <c r="AOU1" s="390"/>
      <c r="AOV1" s="390"/>
      <c r="AOW1" s="390"/>
      <c r="AOX1" s="390"/>
      <c r="AOY1" s="390"/>
      <c r="AOZ1" s="390"/>
      <c r="APA1" s="390"/>
      <c r="APB1" s="390"/>
      <c r="APC1" s="390"/>
      <c r="APD1" s="390"/>
      <c r="APE1" s="390"/>
      <c r="APF1" s="390"/>
      <c r="APG1" s="390"/>
      <c r="APH1" s="390"/>
      <c r="API1" s="390"/>
      <c r="APJ1" s="390"/>
      <c r="APK1" s="390"/>
      <c r="APL1" s="390"/>
      <c r="APM1" s="390"/>
      <c r="APN1" s="390"/>
      <c r="APO1" s="390"/>
      <c r="APP1" s="390"/>
      <c r="APQ1" s="390"/>
      <c r="APR1" s="390"/>
      <c r="APS1" s="390"/>
      <c r="APT1" s="390"/>
      <c r="APU1" s="390"/>
      <c r="APV1" s="390"/>
      <c r="APW1" s="390"/>
      <c r="APX1" s="390"/>
      <c r="APY1" s="390"/>
      <c r="APZ1" s="390"/>
      <c r="AQA1" s="390"/>
      <c r="AQB1" s="390"/>
      <c r="AQC1" s="390"/>
      <c r="AQD1" s="390"/>
      <c r="AQE1" s="390"/>
      <c r="AQF1" s="390"/>
      <c r="AQG1" s="390"/>
      <c r="AQH1" s="390"/>
      <c r="AQI1" s="390"/>
      <c r="AQJ1" s="390"/>
      <c r="AQK1" s="390"/>
      <c r="AQL1" s="390"/>
      <c r="AQM1" s="390"/>
      <c r="AQN1" s="390"/>
      <c r="AQO1" s="390"/>
      <c r="AQP1" s="390"/>
      <c r="AQQ1" s="390"/>
      <c r="AQR1" s="390"/>
      <c r="AQS1" s="390"/>
      <c r="AQT1" s="390"/>
      <c r="AQU1" s="390"/>
      <c r="AQV1" s="390"/>
      <c r="AQW1" s="390"/>
      <c r="AQX1" s="390"/>
      <c r="AQY1" s="390"/>
      <c r="AQZ1" s="390"/>
      <c r="ARA1" s="390"/>
      <c r="ARB1" s="390"/>
      <c r="ARC1" s="390"/>
      <c r="ARD1" s="390"/>
      <c r="ARE1" s="390"/>
      <c r="ARF1" s="390"/>
      <c r="ARG1" s="390"/>
      <c r="ARH1" s="390"/>
      <c r="ARI1" s="390"/>
      <c r="ARJ1" s="390"/>
      <c r="ARK1" s="390"/>
      <c r="ARL1" s="390"/>
      <c r="ARM1" s="390"/>
      <c r="ARN1" s="390"/>
      <c r="ARO1" s="390"/>
      <c r="ARP1" s="390"/>
      <c r="ARQ1" s="390"/>
      <c r="ARR1" s="390"/>
      <c r="ARS1" s="390"/>
      <c r="ART1" s="390"/>
      <c r="ARU1" s="390"/>
      <c r="ARV1" s="390"/>
      <c r="ARW1" s="390"/>
      <c r="ARX1" s="390"/>
      <c r="ARY1" s="390"/>
      <c r="ARZ1" s="390"/>
      <c r="ASA1" s="390"/>
      <c r="ASB1" s="390"/>
      <c r="ASC1" s="390"/>
      <c r="ASD1" s="390"/>
      <c r="ASE1" s="390"/>
      <c r="ASF1" s="390"/>
      <c r="ASG1" s="390"/>
      <c r="ASH1" s="390"/>
      <c r="ASI1" s="390"/>
      <c r="ASJ1" s="390"/>
      <c r="ASK1" s="390"/>
      <c r="ASL1" s="390"/>
      <c r="ASM1" s="390"/>
      <c r="ASN1" s="390"/>
      <c r="ASO1" s="390"/>
      <c r="ASP1" s="390"/>
      <c r="ASQ1" s="390"/>
      <c r="ASR1" s="390"/>
      <c r="ASS1" s="390"/>
      <c r="AST1" s="390"/>
      <c r="ASU1" s="390"/>
      <c r="ASV1" s="390"/>
      <c r="ASW1" s="390"/>
      <c r="ASX1" s="390"/>
      <c r="ASY1" s="390"/>
      <c r="ASZ1" s="390"/>
      <c r="ATA1" s="390"/>
      <c r="ATB1" s="390"/>
      <c r="ATC1" s="390"/>
      <c r="ATD1" s="390"/>
      <c r="ATE1" s="390"/>
      <c r="ATF1" s="390"/>
      <c r="ATG1" s="390"/>
      <c r="ATH1" s="390"/>
      <c r="ATI1" s="390"/>
      <c r="ATJ1" s="390"/>
      <c r="ATK1" s="390"/>
      <c r="ATL1" s="390"/>
      <c r="ATM1" s="390"/>
      <c r="ATN1" s="390"/>
      <c r="ATO1" s="390"/>
      <c r="ATP1" s="390"/>
      <c r="ATQ1" s="390"/>
      <c r="ATR1" s="390"/>
      <c r="ATS1" s="390"/>
      <c r="ATT1" s="390"/>
      <c r="ATU1" s="390"/>
      <c r="ATV1" s="390"/>
      <c r="ATW1" s="390"/>
      <c r="ATX1" s="390"/>
      <c r="ATY1" s="390"/>
      <c r="ATZ1" s="390"/>
      <c r="AUA1" s="390"/>
      <c r="AUB1" s="390"/>
      <c r="AUC1" s="390"/>
      <c r="AUD1" s="390"/>
      <c r="AUE1" s="390"/>
      <c r="AUF1" s="390"/>
      <c r="AUG1" s="390"/>
      <c r="AUH1" s="390"/>
      <c r="AUI1" s="390"/>
      <c r="AUJ1" s="390"/>
      <c r="AUK1" s="390"/>
      <c r="AUL1" s="390"/>
      <c r="AUM1" s="390"/>
      <c r="AUN1" s="390"/>
      <c r="AUO1" s="390"/>
      <c r="AUP1" s="390"/>
      <c r="AUQ1" s="390"/>
      <c r="AUR1" s="390"/>
      <c r="AUS1" s="390"/>
      <c r="AUT1" s="390"/>
      <c r="AUU1" s="390"/>
      <c r="AUV1" s="390"/>
      <c r="AUW1" s="390"/>
      <c r="AUX1" s="390"/>
      <c r="AUY1" s="390"/>
      <c r="AUZ1" s="390"/>
      <c r="AVA1" s="390"/>
      <c r="AVB1" s="390"/>
      <c r="AVC1" s="390"/>
      <c r="AVD1" s="390"/>
      <c r="AVE1" s="390"/>
      <c r="AVF1" s="390"/>
      <c r="AVG1" s="390"/>
      <c r="AVH1" s="390"/>
      <c r="AVI1" s="390"/>
      <c r="AVJ1" s="390"/>
      <c r="AVK1" s="390"/>
      <c r="AVL1" s="390"/>
      <c r="AVM1" s="390"/>
      <c r="AVN1" s="390"/>
      <c r="AVO1" s="390"/>
      <c r="AVP1" s="390"/>
      <c r="AVQ1" s="390"/>
      <c r="AVR1" s="390"/>
      <c r="AVS1" s="390"/>
      <c r="AVT1" s="390"/>
      <c r="AVU1" s="390"/>
      <c r="AVV1" s="390"/>
      <c r="AVW1" s="390"/>
      <c r="AVX1" s="390"/>
      <c r="AVY1" s="390"/>
      <c r="AVZ1" s="390"/>
      <c r="AWA1" s="390"/>
      <c r="AWB1" s="390"/>
      <c r="AWC1" s="390"/>
      <c r="AWD1" s="390"/>
      <c r="AWE1" s="390"/>
      <c r="AWF1" s="390"/>
      <c r="AWG1" s="390"/>
      <c r="AWH1" s="390"/>
      <c r="AWI1" s="390"/>
      <c r="AWJ1" s="390"/>
      <c r="AWK1" s="390"/>
      <c r="AWL1" s="390"/>
      <c r="AWM1" s="390"/>
      <c r="AWN1" s="390"/>
      <c r="AWO1" s="390"/>
      <c r="AWP1" s="390"/>
      <c r="AWQ1" s="390"/>
      <c r="AWR1" s="390"/>
      <c r="AWS1" s="390"/>
      <c r="AWT1" s="390"/>
      <c r="AWU1" s="390"/>
      <c r="AWV1" s="390"/>
      <c r="AWW1" s="390"/>
      <c r="AWX1" s="390"/>
      <c r="AWY1" s="390"/>
      <c r="AWZ1" s="390"/>
      <c r="AXA1" s="390"/>
      <c r="AXB1" s="390"/>
      <c r="AXC1" s="390"/>
      <c r="AXD1" s="390"/>
      <c r="AXE1" s="390"/>
      <c r="AXF1" s="390"/>
      <c r="AXG1" s="390"/>
      <c r="AXH1" s="390"/>
      <c r="AXI1" s="390"/>
      <c r="AXJ1" s="390"/>
      <c r="AXK1" s="390"/>
      <c r="AXL1" s="390"/>
      <c r="AXM1" s="390"/>
      <c r="AXN1" s="390"/>
      <c r="AXO1" s="390"/>
      <c r="AXP1" s="390"/>
      <c r="AXQ1" s="390"/>
      <c r="AXR1" s="390"/>
      <c r="AXS1" s="390"/>
      <c r="AXT1" s="390"/>
      <c r="AXU1" s="390"/>
      <c r="AXV1" s="390"/>
      <c r="AXW1" s="390"/>
      <c r="AXX1" s="390"/>
      <c r="AXY1" s="390"/>
      <c r="AXZ1" s="390"/>
      <c r="AYA1" s="390"/>
      <c r="AYB1" s="390"/>
      <c r="AYC1" s="390"/>
      <c r="AYD1" s="390"/>
      <c r="AYE1" s="390"/>
      <c r="AYF1" s="390"/>
      <c r="AYG1" s="390"/>
      <c r="AYH1" s="390"/>
      <c r="AYI1" s="390"/>
      <c r="AYJ1" s="390"/>
      <c r="AYK1" s="390"/>
      <c r="AYL1" s="390"/>
      <c r="AYM1" s="390"/>
      <c r="AYN1" s="390"/>
      <c r="AYO1" s="390"/>
      <c r="AYP1" s="390"/>
      <c r="AYQ1" s="390"/>
      <c r="AYR1" s="390"/>
      <c r="AYS1" s="390"/>
      <c r="AYT1" s="390"/>
      <c r="AYU1" s="390"/>
      <c r="AYV1" s="390"/>
      <c r="AYW1" s="390"/>
      <c r="AYX1" s="390"/>
      <c r="AYY1" s="390"/>
      <c r="AYZ1" s="390"/>
      <c r="AZA1" s="390"/>
      <c r="AZB1" s="390"/>
      <c r="AZC1" s="390"/>
      <c r="AZD1" s="390"/>
      <c r="AZE1" s="390"/>
      <c r="AZF1" s="390"/>
      <c r="AZG1" s="390"/>
      <c r="AZH1" s="390"/>
      <c r="AZI1" s="390"/>
      <c r="AZJ1" s="390"/>
      <c r="AZK1" s="390"/>
      <c r="AZL1" s="390"/>
      <c r="AZM1" s="390"/>
      <c r="AZN1" s="390"/>
      <c r="AZO1" s="390"/>
      <c r="AZP1" s="390"/>
      <c r="AZQ1" s="390"/>
      <c r="AZR1" s="390"/>
      <c r="AZS1" s="390"/>
      <c r="AZT1" s="390"/>
      <c r="AZU1" s="390"/>
      <c r="AZV1" s="390"/>
      <c r="AZW1" s="390"/>
      <c r="AZX1" s="390"/>
      <c r="AZY1" s="390"/>
      <c r="AZZ1" s="390"/>
      <c r="BAA1" s="390"/>
      <c r="BAB1" s="390"/>
      <c r="BAC1" s="390"/>
      <c r="BAD1" s="390"/>
      <c r="BAE1" s="390"/>
      <c r="BAF1" s="390"/>
      <c r="BAG1" s="390"/>
      <c r="BAH1" s="390"/>
      <c r="BAI1" s="390"/>
      <c r="BAJ1" s="390"/>
      <c r="BAK1" s="390"/>
      <c r="BAL1" s="390"/>
      <c r="BAM1" s="390"/>
      <c r="BAN1" s="390"/>
      <c r="BAO1" s="390"/>
      <c r="BAP1" s="390"/>
      <c r="BAQ1" s="390"/>
      <c r="BAR1" s="390"/>
      <c r="BAS1" s="390"/>
      <c r="BAT1" s="390"/>
      <c r="BAU1" s="390"/>
      <c r="BAV1" s="390"/>
      <c r="BAW1" s="390"/>
      <c r="BAX1" s="390"/>
      <c r="BAY1" s="390"/>
      <c r="BAZ1" s="390"/>
      <c r="BBA1" s="390"/>
      <c r="BBB1" s="390"/>
      <c r="BBC1" s="390"/>
      <c r="BBD1" s="390"/>
      <c r="BBE1" s="390"/>
      <c r="BBF1" s="390"/>
      <c r="BBG1" s="390"/>
      <c r="BBH1" s="390"/>
      <c r="BBI1" s="390"/>
      <c r="BBJ1" s="390"/>
      <c r="BBK1" s="390"/>
      <c r="BBL1" s="390"/>
      <c r="BBM1" s="390"/>
      <c r="BBN1" s="390"/>
      <c r="BBO1" s="390"/>
      <c r="BBP1" s="390"/>
      <c r="BBQ1" s="390"/>
      <c r="BBR1" s="390"/>
      <c r="BBS1" s="390"/>
      <c r="BBT1" s="390"/>
      <c r="BBU1" s="390"/>
      <c r="BBV1" s="390"/>
      <c r="BBW1" s="390"/>
      <c r="BBX1" s="390"/>
      <c r="BBY1" s="390"/>
      <c r="BBZ1" s="390"/>
      <c r="BCA1" s="390"/>
      <c r="BCB1" s="390"/>
      <c r="BCC1" s="390"/>
      <c r="BCD1" s="390"/>
      <c r="BCE1" s="390"/>
      <c r="BCF1" s="390"/>
      <c r="BCG1" s="390"/>
      <c r="BCH1" s="390"/>
      <c r="BCI1" s="390"/>
      <c r="BCJ1" s="390"/>
      <c r="BCK1" s="390"/>
      <c r="BCL1" s="390"/>
      <c r="BCM1" s="390"/>
      <c r="BCN1" s="390"/>
      <c r="BCO1" s="390"/>
      <c r="BCP1" s="390"/>
      <c r="BCQ1" s="390"/>
      <c r="BCR1" s="390"/>
      <c r="BCS1" s="390"/>
      <c r="BCT1" s="390"/>
      <c r="BCU1" s="390"/>
      <c r="BCV1" s="390"/>
      <c r="BCW1" s="390"/>
      <c r="BCX1" s="390"/>
      <c r="BCY1" s="390"/>
      <c r="BCZ1" s="390"/>
      <c r="BDA1" s="390"/>
      <c r="BDB1" s="390"/>
      <c r="BDC1" s="390"/>
      <c r="BDD1" s="390"/>
      <c r="BDE1" s="390"/>
      <c r="BDF1" s="390"/>
      <c r="BDG1" s="390"/>
      <c r="BDH1" s="390"/>
      <c r="BDI1" s="390"/>
      <c r="BDJ1" s="390"/>
      <c r="BDK1" s="390"/>
      <c r="BDL1" s="390"/>
      <c r="BDM1" s="390"/>
      <c r="BDN1" s="390"/>
      <c r="BDO1" s="390"/>
      <c r="BDP1" s="390"/>
      <c r="BDQ1" s="390"/>
      <c r="BDR1" s="390"/>
      <c r="BDS1" s="390"/>
      <c r="BDT1" s="390"/>
      <c r="BDU1" s="390"/>
      <c r="BDV1" s="390"/>
      <c r="BDW1" s="390"/>
      <c r="BDX1" s="390"/>
      <c r="BDY1" s="390"/>
      <c r="BDZ1" s="390"/>
      <c r="BEA1" s="390"/>
      <c r="BEB1" s="390"/>
      <c r="BEC1" s="390"/>
      <c r="BED1" s="390"/>
      <c r="BEE1" s="390"/>
      <c r="BEF1" s="390"/>
      <c r="BEG1" s="390"/>
      <c r="BEH1" s="390"/>
      <c r="BEI1" s="390"/>
      <c r="BEJ1" s="390"/>
      <c r="BEK1" s="390"/>
      <c r="BEL1" s="390"/>
      <c r="BEM1" s="390"/>
      <c r="BEN1" s="390"/>
      <c r="BEO1" s="390"/>
      <c r="BEP1" s="390"/>
      <c r="BEQ1" s="390"/>
      <c r="BER1" s="390"/>
      <c r="BES1" s="390"/>
      <c r="BET1" s="390"/>
      <c r="BEU1" s="390"/>
      <c r="BEV1" s="390"/>
      <c r="BEW1" s="390"/>
      <c r="BEX1" s="390"/>
      <c r="BEY1" s="390"/>
      <c r="BEZ1" s="390"/>
      <c r="BFA1" s="390"/>
      <c r="BFB1" s="390"/>
      <c r="BFC1" s="390"/>
      <c r="BFD1" s="390"/>
      <c r="BFE1" s="390"/>
      <c r="BFF1" s="390"/>
      <c r="BFG1" s="390"/>
      <c r="BFH1" s="390"/>
      <c r="BFI1" s="390"/>
      <c r="BFJ1" s="390"/>
      <c r="BFK1" s="390"/>
      <c r="BFL1" s="390"/>
      <c r="BFM1" s="390"/>
      <c r="BFN1" s="390"/>
      <c r="BFO1" s="390"/>
      <c r="BFP1" s="390"/>
      <c r="BFQ1" s="390"/>
      <c r="BFR1" s="390"/>
      <c r="BFS1" s="390"/>
      <c r="BFT1" s="390"/>
      <c r="BFU1" s="390"/>
      <c r="BFV1" s="390"/>
      <c r="BFW1" s="390"/>
      <c r="BFX1" s="390"/>
      <c r="BFY1" s="390"/>
      <c r="BFZ1" s="390"/>
      <c r="BGA1" s="390"/>
      <c r="BGB1" s="390"/>
      <c r="BGC1" s="390"/>
      <c r="BGD1" s="390"/>
      <c r="BGE1" s="390"/>
      <c r="BGF1" s="390"/>
      <c r="BGG1" s="390"/>
      <c r="BGH1" s="390"/>
      <c r="BGI1" s="390"/>
      <c r="BGJ1" s="390"/>
      <c r="BGK1" s="390"/>
      <c r="BGL1" s="390"/>
      <c r="BGM1" s="390"/>
      <c r="BGN1" s="390"/>
      <c r="BGO1" s="390"/>
      <c r="BGP1" s="390"/>
      <c r="BGQ1" s="390"/>
      <c r="BGR1" s="390"/>
      <c r="BGS1" s="390"/>
      <c r="BGT1" s="390"/>
      <c r="BGU1" s="390"/>
      <c r="BGV1" s="390"/>
      <c r="BGW1" s="390"/>
      <c r="BGX1" s="390"/>
      <c r="BGY1" s="390"/>
      <c r="BGZ1" s="390"/>
      <c r="BHA1" s="390"/>
      <c r="BHB1" s="390"/>
      <c r="BHC1" s="390"/>
      <c r="BHD1" s="390"/>
      <c r="BHE1" s="390"/>
      <c r="BHF1" s="390"/>
      <c r="BHG1" s="390"/>
      <c r="BHH1" s="390"/>
      <c r="BHI1" s="390"/>
      <c r="BHJ1" s="390"/>
      <c r="BHK1" s="390"/>
      <c r="BHL1" s="390"/>
      <c r="BHM1" s="390"/>
      <c r="BHN1" s="390"/>
      <c r="BHO1" s="390"/>
      <c r="BHP1" s="390"/>
      <c r="BHQ1" s="390"/>
      <c r="BHR1" s="390"/>
      <c r="BHS1" s="390"/>
      <c r="BHT1" s="390"/>
      <c r="BHU1" s="390"/>
      <c r="BHV1" s="390"/>
      <c r="BHW1" s="390"/>
      <c r="BHX1" s="390"/>
      <c r="BHY1" s="390"/>
      <c r="BHZ1" s="390"/>
      <c r="BIA1" s="390"/>
      <c r="BIB1" s="390"/>
      <c r="BIC1" s="390"/>
      <c r="BID1" s="390"/>
      <c r="BIE1" s="390"/>
      <c r="BIF1" s="390"/>
      <c r="BIG1" s="390"/>
      <c r="BIH1" s="390"/>
      <c r="BII1" s="390"/>
      <c r="BIJ1" s="390"/>
      <c r="BIK1" s="390"/>
      <c r="BIL1" s="390"/>
      <c r="BIM1" s="390"/>
      <c r="BIN1" s="390"/>
      <c r="BIO1" s="390"/>
      <c r="BIP1" s="390"/>
      <c r="BIQ1" s="390"/>
      <c r="BIR1" s="390"/>
      <c r="BIS1" s="390"/>
      <c r="BIT1" s="390"/>
      <c r="BIU1" s="390"/>
      <c r="BIV1" s="390"/>
      <c r="BIW1" s="390"/>
      <c r="BIX1" s="390"/>
      <c r="BIY1" s="390"/>
      <c r="BIZ1" s="390"/>
      <c r="BJA1" s="390"/>
      <c r="BJB1" s="390"/>
      <c r="BJC1" s="390"/>
      <c r="BJD1" s="390"/>
      <c r="BJE1" s="390"/>
      <c r="BJF1" s="390"/>
      <c r="BJG1" s="390"/>
      <c r="BJH1" s="390"/>
      <c r="BJI1" s="390"/>
      <c r="BJJ1" s="390"/>
      <c r="BJK1" s="390"/>
      <c r="BJL1" s="390"/>
      <c r="BJM1" s="390"/>
      <c r="BJN1" s="390"/>
      <c r="BJO1" s="390"/>
      <c r="BJP1" s="390"/>
      <c r="BJQ1" s="390"/>
      <c r="BJR1" s="390"/>
      <c r="BJS1" s="390"/>
      <c r="BJT1" s="390"/>
      <c r="BJU1" s="390"/>
      <c r="BJV1" s="390"/>
      <c r="BJW1" s="390"/>
      <c r="BJX1" s="390"/>
      <c r="BJY1" s="390"/>
      <c r="BJZ1" s="390"/>
      <c r="BKA1" s="390"/>
      <c r="BKB1" s="390"/>
      <c r="BKC1" s="390"/>
      <c r="BKD1" s="390"/>
      <c r="BKE1" s="390"/>
      <c r="BKF1" s="390"/>
      <c r="BKG1" s="390"/>
      <c r="BKH1" s="390"/>
      <c r="BKI1" s="390"/>
      <c r="BKJ1" s="390"/>
      <c r="BKK1" s="390"/>
      <c r="BKL1" s="390"/>
      <c r="BKM1" s="390"/>
      <c r="BKN1" s="390"/>
      <c r="BKO1" s="390"/>
      <c r="BKP1" s="390"/>
      <c r="BKQ1" s="390"/>
      <c r="BKR1" s="390"/>
      <c r="BKS1" s="390"/>
      <c r="BKT1" s="390"/>
      <c r="BKU1" s="390"/>
      <c r="BKV1" s="390"/>
      <c r="BKW1" s="390"/>
      <c r="BKX1" s="390"/>
      <c r="BKY1" s="390"/>
      <c r="BKZ1" s="390"/>
      <c r="BLA1" s="390"/>
      <c r="BLB1" s="390"/>
      <c r="BLC1" s="390"/>
      <c r="BLD1" s="390"/>
      <c r="BLE1" s="390"/>
      <c r="BLF1" s="390"/>
      <c r="BLG1" s="390"/>
      <c r="BLH1" s="390"/>
      <c r="BLI1" s="390"/>
      <c r="BLJ1" s="390"/>
      <c r="BLK1" s="390"/>
      <c r="BLL1" s="390"/>
      <c r="BLM1" s="390"/>
      <c r="BLN1" s="390"/>
      <c r="BLO1" s="390"/>
      <c r="BLP1" s="390"/>
      <c r="BLQ1" s="390"/>
      <c r="BLR1" s="390"/>
      <c r="BLS1" s="390"/>
      <c r="BLT1" s="390"/>
      <c r="BLU1" s="390"/>
      <c r="BLV1" s="390"/>
      <c r="BLW1" s="390"/>
      <c r="BLX1" s="390"/>
      <c r="BLY1" s="390"/>
      <c r="BLZ1" s="390"/>
      <c r="BMA1" s="390"/>
      <c r="BMB1" s="390"/>
      <c r="BMC1" s="390"/>
      <c r="BMD1" s="390"/>
      <c r="BME1" s="390"/>
      <c r="BMF1" s="390"/>
      <c r="BMG1" s="390"/>
      <c r="BMH1" s="390"/>
      <c r="BMI1" s="390"/>
      <c r="BMJ1" s="390"/>
      <c r="BMK1" s="390"/>
      <c r="BML1" s="390"/>
      <c r="BMM1" s="390"/>
      <c r="BMN1" s="390"/>
      <c r="BMO1" s="390"/>
      <c r="BMP1" s="390"/>
      <c r="BMQ1" s="390"/>
      <c r="BMR1" s="390"/>
      <c r="BMS1" s="390"/>
      <c r="BMT1" s="390"/>
      <c r="BMU1" s="390"/>
      <c r="BMV1" s="390"/>
      <c r="BMW1" s="390"/>
      <c r="BMX1" s="390"/>
      <c r="BMY1" s="390"/>
      <c r="BMZ1" s="390"/>
      <c r="BNA1" s="390"/>
      <c r="BNB1" s="390"/>
      <c r="BNC1" s="390"/>
      <c r="BND1" s="390"/>
      <c r="BNE1" s="390"/>
      <c r="BNF1" s="390"/>
      <c r="BNG1" s="390"/>
      <c r="BNH1" s="390"/>
      <c r="BNI1" s="390"/>
      <c r="BNJ1" s="390"/>
      <c r="BNK1" s="390"/>
      <c r="BNL1" s="390"/>
      <c r="BNM1" s="390"/>
      <c r="BNN1" s="390"/>
      <c r="BNO1" s="390"/>
      <c r="BNP1" s="390"/>
      <c r="BNQ1" s="390"/>
      <c r="BNR1" s="390"/>
      <c r="BNS1" s="390"/>
      <c r="BNT1" s="390"/>
      <c r="BNU1" s="390"/>
      <c r="BNV1" s="390"/>
      <c r="BNW1" s="390"/>
      <c r="BNX1" s="390"/>
      <c r="BNY1" s="390"/>
      <c r="BNZ1" s="390"/>
      <c r="BOA1" s="390"/>
      <c r="BOB1" s="390"/>
      <c r="BOC1" s="390"/>
      <c r="BOD1" s="390"/>
      <c r="BOE1" s="390"/>
      <c r="BOF1" s="390"/>
      <c r="BOG1" s="390"/>
      <c r="BOH1" s="390"/>
      <c r="BOI1" s="390"/>
      <c r="BOJ1" s="390"/>
      <c r="BOK1" s="390"/>
      <c r="BOL1" s="390"/>
      <c r="BOM1" s="390"/>
      <c r="BON1" s="390"/>
      <c r="BOO1" s="390"/>
      <c r="BOP1" s="390"/>
      <c r="BOQ1" s="390"/>
      <c r="BOR1" s="390"/>
      <c r="BOS1" s="390"/>
      <c r="BOT1" s="390"/>
      <c r="BOU1" s="390"/>
      <c r="BOV1" s="390"/>
      <c r="BOW1" s="390"/>
      <c r="BOX1" s="390"/>
      <c r="BOY1" s="390"/>
      <c r="BOZ1" s="390"/>
      <c r="BPA1" s="390"/>
      <c r="BPB1" s="390"/>
      <c r="BPC1" s="390"/>
      <c r="BPD1" s="390"/>
      <c r="BPE1" s="390"/>
      <c r="BPF1" s="390"/>
      <c r="BPG1" s="390"/>
      <c r="BPH1" s="390"/>
      <c r="BPI1" s="390"/>
      <c r="BPJ1" s="390"/>
      <c r="BPK1" s="390"/>
      <c r="BPL1" s="390"/>
      <c r="BPM1" s="390"/>
      <c r="BPN1" s="390"/>
      <c r="BPO1" s="390"/>
      <c r="BPP1" s="390"/>
      <c r="BPQ1" s="390"/>
      <c r="BPR1" s="390"/>
      <c r="BPS1" s="390"/>
      <c r="BPT1" s="390"/>
      <c r="BPU1" s="390"/>
      <c r="BPV1" s="390"/>
      <c r="BPW1" s="390"/>
      <c r="BPX1" s="390"/>
      <c r="BPY1" s="390"/>
      <c r="BPZ1" s="390"/>
      <c r="BQA1" s="390"/>
      <c r="BQB1" s="390"/>
      <c r="BQC1" s="390"/>
      <c r="BQD1" s="390"/>
      <c r="BQE1" s="390"/>
      <c r="BQF1" s="390"/>
      <c r="BQG1" s="390"/>
      <c r="BQH1" s="390"/>
      <c r="BQI1" s="390"/>
      <c r="BQJ1" s="390"/>
      <c r="BQK1" s="390"/>
      <c r="BQL1" s="390"/>
      <c r="BQM1" s="390"/>
      <c r="BQN1" s="390"/>
      <c r="BQO1" s="390"/>
      <c r="BQP1" s="390"/>
      <c r="BQQ1" s="390"/>
      <c r="BQR1" s="390"/>
      <c r="BQS1" s="390"/>
      <c r="BQT1" s="390"/>
      <c r="BQU1" s="390"/>
      <c r="BQV1" s="390"/>
      <c r="BQW1" s="390"/>
      <c r="BQX1" s="390"/>
      <c r="BQY1" s="390"/>
      <c r="BQZ1" s="390"/>
      <c r="BRA1" s="390"/>
      <c r="BRB1" s="390"/>
      <c r="BRC1" s="390"/>
      <c r="BRD1" s="390"/>
      <c r="BRE1" s="390"/>
      <c r="BRF1" s="390"/>
      <c r="BRG1" s="390"/>
      <c r="BRH1" s="390"/>
      <c r="BRI1" s="390"/>
      <c r="BRJ1" s="390"/>
      <c r="BRK1" s="390"/>
      <c r="BRL1" s="390"/>
      <c r="BRM1" s="390"/>
      <c r="BRN1" s="390"/>
      <c r="BRO1" s="390"/>
      <c r="BRP1" s="390"/>
      <c r="BRQ1" s="390"/>
      <c r="BRR1" s="390"/>
      <c r="BRS1" s="390"/>
      <c r="BRT1" s="390"/>
      <c r="BRU1" s="390"/>
      <c r="BRV1" s="390"/>
      <c r="BRW1" s="390"/>
      <c r="BRX1" s="390"/>
      <c r="BRY1" s="390"/>
      <c r="BRZ1" s="390"/>
      <c r="BSA1" s="390"/>
      <c r="BSB1" s="390"/>
      <c r="BSC1" s="390"/>
    </row>
    <row r="2" spans="1:1849" s="595" customFormat="1" ht="15" x14ac:dyDescent="0.2">
      <c r="A2" s="503">
        <v>1</v>
      </c>
      <c r="B2" s="504" t="s">
        <v>25</v>
      </c>
      <c r="C2" s="646" t="s">
        <v>461</v>
      </c>
      <c r="D2" s="504" t="s">
        <v>26</v>
      </c>
      <c r="E2" s="504" t="s">
        <v>27</v>
      </c>
      <c r="F2" s="504">
        <v>40</v>
      </c>
      <c r="G2" s="504">
        <v>20</v>
      </c>
      <c r="H2" s="504">
        <v>39</v>
      </c>
      <c r="I2" s="504">
        <v>20</v>
      </c>
      <c r="J2" s="504">
        <v>1</v>
      </c>
      <c r="K2" s="504">
        <f t="shared" ref="K2:K18" si="0">F2*G2*J2</f>
        <v>800</v>
      </c>
      <c r="L2" s="504" t="s">
        <v>28</v>
      </c>
      <c r="M2" s="509" t="s">
        <v>259</v>
      </c>
      <c r="N2" s="504">
        <v>21.136089999999999</v>
      </c>
      <c r="O2" s="504">
        <v>79.060940000000002</v>
      </c>
      <c r="P2" s="504">
        <v>150000</v>
      </c>
      <c r="Q2" s="504">
        <v>175000</v>
      </c>
      <c r="R2" s="504">
        <v>250000</v>
      </c>
    </row>
    <row r="3" spans="1:1849" s="595" customFormat="1" ht="15.75" customHeight="1" x14ac:dyDescent="0.2">
      <c r="A3" s="503">
        <v>2</v>
      </c>
      <c r="B3" s="504" t="s">
        <v>25</v>
      </c>
      <c r="C3" s="646" t="s">
        <v>460</v>
      </c>
      <c r="D3" s="504" t="s">
        <v>26</v>
      </c>
      <c r="E3" s="504" t="s">
        <v>27</v>
      </c>
      <c r="F3" s="504">
        <v>40</v>
      </c>
      <c r="G3" s="504">
        <v>20</v>
      </c>
      <c r="H3" s="504">
        <v>40</v>
      </c>
      <c r="I3" s="504">
        <v>20</v>
      </c>
      <c r="J3" s="504">
        <v>1</v>
      </c>
      <c r="K3" s="504">
        <f t="shared" si="0"/>
        <v>800</v>
      </c>
      <c r="L3" s="504" t="s">
        <v>28</v>
      </c>
      <c r="M3" s="509" t="s">
        <v>259</v>
      </c>
      <c r="N3" s="504">
        <v>21.13607</v>
      </c>
      <c r="O3" s="504">
        <v>79.060860000000005</v>
      </c>
      <c r="P3" s="504">
        <v>150000</v>
      </c>
      <c r="Q3" s="504">
        <v>175000</v>
      </c>
      <c r="R3" s="504">
        <v>250000</v>
      </c>
    </row>
    <row r="4" spans="1:1849" s="680" customFormat="1" ht="15" x14ac:dyDescent="0.2">
      <c r="A4" s="503">
        <v>3</v>
      </c>
      <c r="B4" s="639" t="s">
        <v>25</v>
      </c>
      <c r="C4" s="447" t="s">
        <v>459</v>
      </c>
      <c r="D4" s="639" t="s">
        <v>26</v>
      </c>
      <c r="E4" s="639" t="s">
        <v>27</v>
      </c>
      <c r="F4" s="639">
        <v>20</v>
      </c>
      <c r="G4" s="639">
        <v>20</v>
      </c>
      <c r="H4" s="639">
        <v>20</v>
      </c>
      <c r="I4" s="639">
        <v>20</v>
      </c>
      <c r="J4" s="639">
        <v>1</v>
      </c>
      <c r="K4" s="639">
        <f t="shared" si="0"/>
        <v>400</v>
      </c>
      <c r="L4" s="639" t="s">
        <v>28</v>
      </c>
      <c r="M4" s="528" t="s">
        <v>259</v>
      </c>
      <c r="N4" s="639">
        <v>21.13796</v>
      </c>
      <c r="O4" s="639">
        <v>79.060130000000001</v>
      </c>
      <c r="P4" s="639">
        <v>40000</v>
      </c>
      <c r="Q4" s="639">
        <v>50000</v>
      </c>
      <c r="R4" s="639">
        <v>65000</v>
      </c>
    </row>
    <row r="5" spans="1:1849" s="680" customFormat="1" ht="18" customHeight="1" x14ac:dyDescent="0.2">
      <c r="A5" s="503">
        <v>4</v>
      </c>
      <c r="B5" s="639" t="s">
        <v>25</v>
      </c>
      <c r="C5" s="447" t="s">
        <v>459</v>
      </c>
      <c r="D5" s="639" t="s">
        <v>26</v>
      </c>
      <c r="E5" s="639" t="s">
        <v>27</v>
      </c>
      <c r="F5" s="639">
        <v>30</v>
      </c>
      <c r="G5" s="639">
        <v>20</v>
      </c>
      <c r="H5" s="639">
        <v>30</v>
      </c>
      <c r="I5" s="639">
        <v>20</v>
      </c>
      <c r="J5" s="639">
        <v>1</v>
      </c>
      <c r="K5" s="639">
        <f t="shared" si="0"/>
        <v>600</v>
      </c>
      <c r="L5" s="639" t="s">
        <v>28</v>
      </c>
      <c r="M5" s="528" t="s">
        <v>256</v>
      </c>
      <c r="N5" s="639">
        <v>21.137969999999999</v>
      </c>
      <c r="O5" s="639">
        <v>79.060130000000001</v>
      </c>
      <c r="P5" s="639">
        <v>50000</v>
      </c>
      <c r="Q5" s="639">
        <v>60000</v>
      </c>
      <c r="R5" s="639">
        <v>90000</v>
      </c>
    </row>
    <row r="6" spans="1:1849" s="502" customFormat="1" ht="15" x14ac:dyDescent="0.2">
      <c r="A6" s="503">
        <v>5</v>
      </c>
      <c r="B6" s="504" t="s">
        <v>25</v>
      </c>
      <c r="C6" s="548" t="s">
        <v>587</v>
      </c>
      <c r="D6" s="504" t="s">
        <v>26</v>
      </c>
      <c r="E6" s="504" t="s">
        <v>27</v>
      </c>
      <c r="F6" s="504">
        <v>50</v>
      </c>
      <c r="G6" s="504">
        <v>25</v>
      </c>
      <c r="H6" s="504">
        <v>49</v>
      </c>
      <c r="I6" s="504">
        <v>25</v>
      </c>
      <c r="J6" s="504">
        <v>1</v>
      </c>
      <c r="K6" s="504">
        <f t="shared" si="0"/>
        <v>1250</v>
      </c>
      <c r="L6" s="504" t="s">
        <v>28</v>
      </c>
      <c r="M6" s="511" t="s">
        <v>304</v>
      </c>
      <c r="N6" s="505">
        <v>21.121220000000001</v>
      </c>
      <c r="O6" s="505">
        <v>79.056269999999998</v>
      </c>
      <c r="P6" s="506">
        <v>100000</v>
      </c>
      <c r="Q6" s="505">
        <v>120000</v>
      </c>
      <c r="R6" s="505">
        <v>165000</v>
      </c>
      <c r="S6" s="501"/>
      <c r="T6" s="501"/>
      <c r="U6" s="501"/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1"/>
      <c r="AY6" s="501"/>
      <c r="AZ6" s="501"/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1"/>
      <c r="BU6" s="501"/>
      <c r="BV6" s="501"/>
      <c r="BW6" s="501"/>
      <c r="BX6" s="501"/>
      <c r="BY6" s="501"/>
      <c r="BZ6" s="501"/>
      <c r="CA6" s="501"/>
      <c r="CB6" s="501"/>
      <c r="CC6" s="501"/>
      <c r="CD6" s="501"/>
      <c r="CE6" s="501"/>
      <c r="CF6" s="501"/>
      <c r="CG6" s="501"/>
      <c r="CH6" s="501"/>
      <c r="CI6" s="501"/>
      <c r="CJ6" s="501"/>
      <c r="CK6" s="501"/>
      <c r="CL6" s="501"/>
      <c r="CM6" s="501"/>
      <c r="CN6" s="501"/>
      <c r="CO6" s="501"/>
      <c r="CP6" s="501"/>
      <c r="CQ6" s="501"/>
      <c r="CR6" s="501"/>
      <c r="CS6" s="501"/>
      <c r="CT6" s="501"/>
      <c r="CU6" s="501"/>
      <c r="CV6" s="501"/>
      <c r="CW6" s="501"/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1"/>
      <c r="DS6" s="501"/>
      <c r="DT6" s="501"/>
      <c r="DU6" s="501"/>
      <c r="DV6" s="501"/>
      <c r="DW6" s="501"/>
      <c r="DX6" s="501"/>
      <c r="DY6" s="501"/>
      <c r="DZ6" s="501"/>
      <c r="EA6" s="501"/>
      <c r="EB6" s="501"/>
      <c r="EC6" s="501"/>
      <c r="ED6" s="501"/>
      <c r="EE6" s="501"/>
      <c r="EF6" s="501"/>
      <c r="EG6" s="501"/>
      <c r="EH6" s="501"/>
      <c r="EI6" s="501"/>
      <c r="EJ6" s="501"/>
      <c r="EK6" s="501"/>
      <c r="EL6" s="501"/>
      <c r="EM6" s="501"/>
      <c r="EN6" s="501"/>
      <c r="EO6" s="501"/>
      <c r="EP6" s="501"/>
      <c r="EQ6" s="501"/>
      <c r="ER6" s="501"/>
      <c r="ES6" s="501"/>
      <c r="ET6" s="501"/>
      <c r="EU6" s="501"/>
      <c r="EV6" s="501"/>
      <c r="EW6" s="501"/>
      <c r="EX6" s="501"/>
      <c r="EY6" s="501"/>
      <c r="EZ6" s="501"/>
      <c r="FA6" s="501"/>
      <c r="FB6" s="501"/>
      <c r="FC6" s="501"/>
      <c r="FD6" s="501"/>
      <c r="FE6" s="501"/>
      <c r="FF6" s="501"/>
      <c r="FG6" s="501"/>
      <c r="FH6" s="501"/>
      <c r="FI6" s="501"/>
      <c r="FJ6" s="501"/>
      <c r="FK6" s="501"/>
      <c r="FL6" s="501"/>
      <c r="FM6" s="501"/>
      <c r="FN6" s="501"/>
      <c r="FO6" s="501"/>
      <c r="FP6" s="501"/>
      <c r="FQ6" s="501"/>
      <c r="FR6" s="501"/>
      <c r="FS6" s="501"/>
      <c r="FT6" s="501"/>
      <c r="FU6" s="501"/>
      <c r="FV6" s="501"/>
      <c r="FW6" s="501"/>
      <c r="FX6" s="501"/>
      <c r="FY6" s="501"/>
      <c r="FZ6" s="501"/>
      <c r="GA6" s="501"/>
      <c r="GB6" s="501"/>
      <c r="GC6" s="501"/>
      <c r="GD6" s="501"/>
      <c r="GE6" s="501"/>
      <c r="GF6" s="501"/>
      <c r="GG6" s="501"/>
      <c r="GH6" s="501"/>
      <c r="GI6" s="501"/>
      <c r="GJ6" s="501"/>
      <c r="GK6" s="501"/>
      <c r="GL6" s="501"/>
      <c r="GM6" s="501"/>
      <c r="GN6" s="501"/>
      <c r="GO6" s="501"/>
      <c r="GP6" s="501"/>
      <c r="GQ6" s="501"/>
      <c r="GR6" s="501"/>
      <c r="GS6" s="501"/>
      <c r="GT6" s="501"/>
      <c r="GU6" s="501"/>
      <c r="GV6" s="501"/>
      <c r="GW6" s="501"/>
      <c r="GX6" s="501"/>
      <c r="GY6" s="501"/>
      <c r="GZ6" s="501"/>
      <c r="HA6" s="501"/>
      <c r="HB6" s="501"/>
      <c r="HC6" s="501"/>
      <c r="HD6" s="501"/>
      <c r="HE6" s="501"/>
      <c r="HF6" s="501"/>
      <c r="HG6" s="501"/>
      <c r="HH6" s="501"/>
      <c r="HI6" s="501"/>
      <c r="HJ6" s="501"/>
      <c r="HK6" s="501"/>
      <c r="HL6" s="501"/>
      <c r="HM6" s="501"/>
      <c r="HN6" s="501"/>
      <c r="HO6" s="501"/>
      <c r="HP6" s="501"/>
      <c r="HQ6" s="501"/>
      <c r="HR6" s="501"/>
      <c r="HS6" s="501"/>
      <c r="HT6" s="501"/>
      <c r="HU6" s="501"/>
      <c r="HV6" s="501"/>
      <c r="HW6" s="501"/>
      <c r="HX6" s="501"/>
      <c r="HY6" s="501"/>
      <c r="HZ6" s="501"/>
      <c r="IA6" s="501"/>
      <c r="IB6" s="501"/>
      <c r="IC6" s="501"/>
      <c r="ID6" s="501"/>
      <c r="IE6" s="501"/>
      <c r="IF6" s="501"/>
      <c r="IG6" s="501"/>
      <c r="IH6" s="501"/>
      <c r="II6" s="501"/>
      <c r="IJ6" s="501"/>
      <c r="IK6" s="501"/>
      <c r="IL6" s="501"/>
      <c r="IM6" s="501"/>
      <c r="IN6" s="501"/>
      <c r="IO6" s="501"/>
      <c r="IP6" s="501"/>
      <c r="IQ6" s="501"/>
      <c r="IR6" s="501"/>
      <c r="IS6" s="501"/>
      <c r="IT6" s="501"/>
      <c r="IU6" s="501"/>
      <c r="IV6" s="501"/>
      <c r="IW6" s="501"/>
      <c r="IX6" s="501"/>
      <c r="IY6" s="501"/>
      <c r="IZ6" s="501"/>
      <c r="JA6" s="501"/>
      <c r="JB6" s="501"/>
      <c r="JC6" s="501"/>
      <c r="JD6" s="501"/>
      <c r="JE6" s="501"/>
      <c r="JF6" s="501"/>
      <c r="JG6" s="501"/>
      <c r="JH6" s="501"/>
      <c r="JI6" s="501"/>
      <c r="JJ6" s="501"/>
      <c r="JK6" s="501"/>
      <c r="JL6" s="501"/>
      <c r="JM6" s="501"/>
      <c r="JN6" s="501"/>
      <c r="JO6" s="501"/>
      <c r="JP6" s="501"/>
      <c r="JQ6" s="501"/>
      <c r="JR6" s="501"/>
      <c r="JS6" s="501"/>
      <c r="JT6" s="501"/>
      <c r="JU6" s="501"/>
      <c r="JV6" s="501"/>
      <c r="JW6" s="501"/>
      <c r="JX6" s="501"/>
      <c r="JY6" s="501"/>
      <c r="JZ6" s="501"/>
      <c r="KA6" s="501"/>
      <c r="KB6" s="501"/>
      <c r="KC6" s="501"/>
      <c r="KD6" s="501"/>
      <c r="KE6" s="501"/>
      <c r="KF6" s="501"/>
      <c r="KG6" s="501"/>
      <c r="KH6" s="501"/>
      <c r="KI6" s="501"/>
      <c r="KJ6" s="501"/>
      <c r="KK6" s="501"/>
      <c r="KL6" s="501"/>
      <c r="KM6" s="501"/>
      <c r="KN6" s="501"/>
      <c r="KO6" s="501"/>
      <c r="KP6" s="501"/>
      <c r="KQ6" s="501"/>
      <c r="KR6" s="501"/>
      <c r="KS6" s="501"/>
      <c r="KT6" s="501"/>
      <c r="KU6" s="501"/>
      <c r="KV6" s="501"/>
      <c r="KW6" s="501"/>
      <c r="KX6" s="501"/>
      <c r="KY6" s="501"/>
      <c r="KZ6" s="501"/>
      <c r="LA6" s="501"/>
      <c r="LB6" s="501"/>
      <c r="LC6" s="501"/>
      <c r="LD6" s="501"/>
      <c r="LE6" s="501"/>
      <c r="LF6" s="501"/>
      <c r="LG6" s="501"/>
      <c r="LH6" s="501"/>
      <c r="LI6" s="501"/>
      <c r="LJ6" s="501"/>
      <c r="LK6" s="501"/>
      <c r="LL6" s="501"/>
      <c r="LM6" s="501"/>
      <c r="LN6" s="501"/>
      <c r="LO6" s="501"/>
      <c r="LP6" s="501"/>
      <c r="LQ6" s="501"/>
      <c r="LR6" s="501"/>
      <c r="LS6" s="501"/>
      <c r="LT6" s="501"/>
      <c r="LU6" s="501"/>
      <c r="LV6" s="501"/>
      <c r="LW6" s="501"/>
      <c r="LX6" s="501"/>
      <c r="LY6" s="501"/>
      <c r="LZ6" s="501"/>
      <c r="MA6" s="501"/>
      <c r="MB6" s="501"/>
      <c r="MC6" s="501"/>
      <c r="MD6" s="501"/>
      <c r="ME6" s="501"/>
      <c r="MF6" s="501"/>
      <c r="MG6" s="501"/>
      <c r="MH6" s="501"/>
      <c r="MI6" s="501"/>
      <c r="MJ6" s="501"/>
      <c r="MK6" s="501"/>
      <c r="ML6" s="501"/>
      <c r="MM6" s="501"/>
      <c r="MN6" s="501"/>
      <c r="MO6" s="501"/>
      <c r="MP6" s="501"/>
      <c r="MQ6" s="501"/>
      <c r="MR6" s="501"/>
      <c r="MS6" s="501"/>
      <c r="MT6" s="501"/>
      <c r="MU6" s="501"/>
      <c r="MV6" s="501"/>
      <c r="MW6" s="501"/>
      <c r="MX6" s="501"/>
      <c r="MY6" s="501"/>
      <c r="MZ6" s="501"/>
      <c r="NA6" s="501"/>
      <c r="NB6" s="501"/>
      <c r="NC6" s="501"/>
      <c r="ND6" s="501"/>
      <c r="NE6" s="501"/>
      <c r="NF6" s="501"/>
      <c r="NG6" s="501"/>
      <c r="NH6" s="501"/>
      <c r="NI6" s="501"/>
      <c r="NJ6" s="501"/>
      <c r="NK6" s="501"/>
      <c r="NL6" s="501"/>
      <c r="NM6" s="501"/>
      <c r="NN6" s="501"/>
      <c r="NO6" s="501"/>
      <c r="NP6" s="501"/>
      <c r="NQ6" s="501"/>
      <c r="NR6" s="501"/>
      <c r="NS6" s="501"/>
      <c r="NT6" s="501"/>
      <c r="NU6" s="501"/>
      <c r="NV6" s="501"/>
      <c r="NW6" s="501"/>
      <c r="NX6" s="501"/>
      <c r="NY6" s="501"/>
      <c r="NZ6" s="501"/>
      <c r="OA6" s="501"/>
      <c r="OB6" s="501"/>
      <c r="OC6" s="501"/>
      <c r="OD6" s="501"/>
      <c r="OE6" s="501"/>
      <c r="OF6" s="501"/>
      <c r="OG6" s="501"/>
      <c r="OH6" s="501"/>
      <c r="OI6" s="501"/>
      <c r="OJ6" s="501"/>
      <c r="OK6" s="501"/>
      <c r="OL6" s="501"/>
      <c r="OM6" s="501"/>
      <c r="ON6" s="501"/>
      <c r="OO6" s="501"/>
      <c r="OP6" s="501"/>
      <c r="OQ6" s="501"/>
      <c r="OR6" s="501"/>
      <c r="OS6" s="501"/>
      <c r="OT6" s="501"/>
      <c r="OU6" s="501"/>
      <c r="OV6" s="501"/>
      <c r="OW6" s="501"/>
      <c r="OX6" s="501"/>
      <c r="OY6" s="501"/>
      <c r="OZ6" s="501"/>
      <c r="PA6" s="501"/>
      <c r="PB6" s="501"/>
      <c r="PC6" s="501"/>
      <c r="PD6" s="501"/>
      <c r="PE6" s="501"/>
      <c r="PF6" s="501"/>
      <c r="PG6" s="501"/>
      <c r="PH6" s="501"/>
      <c r="PI6" s="501"/>
      <c r="PJ6" s="501"/>
      <c r="PK6" s="501"/>
      <c r="PL6" s="501"/>
      <c r="PM6" s="501"/>
      <c r="PN6" s="501"/>
      <c r="PO6" s="501"/>
      <c r="PP6" s="501"/>
      <c r="PQ6" s="501"/>
      <c r="PR6" s="501"/>
      <c r="PS6" s="501"/>
      <c r="PT6" s="501"/>
      <c r="PU6" s="501"/>
      <c r="PV6" s="501"/>
      <c r="PW6" s="501"/>
      <c r="PX6" s="501"/>
      <c r="PY6" s="501"/>
      <c r="PZ6" s="501"/>
      <c r="QA6" s="501"/>
      <c r="QB6" s="501"/>
      <c r="QC6" s="501"/>
      <c r="QD6" s="501"/>
      <c r="QE6" s="501"/>
      <c r="QF6" s="501"/>
      <c r="QG6" s="501"/>
      <c r="QH6" s="501"/>
      <c r="QI6" s="501"/>
      <c r="QJ6" s="501"/>
      <c r="QK6" s="501"/>
      <c r="QL6" s="501"/>
      <c r="QM6" s="501"/>
      <c r="QN6" s="501"/>
      <c r="QO6" s="501"/>
      <c r="QP6" s="501"/>
      <c r="QQ6" s="501"/>
      <c r="QR6" s="501"/>
      <c r="QS6" s="501"/>
      <c r="QT6" s="501"/>
      <c r="QU6" s="501"/>
      <c r="QV6" s="501"/>
      <c r="QW6" s="501"/>
      <c r="QX6" s="501"/>
      <c r="QY6" s="501"/>
      <c r="QZ6" s="501"/>
      <c r="RA6" s="501"/>
      <c r="RB6" s="501"/>
      <c r="RC6" s="501"/>
      <c r="RD6" s="501"/>
      <c r="RE6" s="501"/>
      <c r="RF6" s="501"/>
      <c r="RG6" s="501"/>
      <c r="RH6" s="501"/>
      <c r="RI6" s="501"/>
      <c r="RJ6" s="501"/>
      <c r="RK6" s="501"/>
      <c r="RL6" s="501"/>
      <c r="RM6" s="501"/>
      <c r="RN6" s="501"/>
      <c r="RO6" s="501"/>
      <c r="RP6" s="501"/>
      <c r="RQ6" s="501"/>
      <c r="RR6" s="501"/>
      <c r="RS6" s="501"/>
      <c r="RT6" s="501"/>
      <c r="RU6" s="501"/>
      <c r="RV6" s="501"/>
      <c r="RW6" s="501"/>
      <c r="RX6" s="501"/>
      <c r="RY6" s="501"/>
      <c r="RZ6" s="501"/>
      <c r="SA6" s="501"/>
      <c r="SB6" s="501"/>
      <c r="SC6" s="501"/>
      <c r="SD6" s="501"/>
      <c r="SE6" s="501"/>
      <c r="SF6" s="501"/>
      <c r="SG6" s="501"/>
      <c r="SH6" s="501"/>
      <c r="SI6" s="501"/>
      <c r="SJ6" s="501"/>
      <c r="SK6" s="501"/>
      <c r="SL6" s="501"/>
      <c r="SM6" s="501"/>
      <c r="SN6" s="501"/>
      <c r="SO6" s="501"/>
      <c r="SP6" s="501"/>
      <c r="SQ6" s="501"/>
      <c r="SR6" s="501"/>
      <c r="SS6" s="501"/>
      <c r="ST6" s="501"/>
      <c r="SU6" s="501"/>
      <c r="SV6" s="501"/>
      <c r="SW6" s="501"/>
      <c r="SX6" s="501"/>
      <c r="SY6" s="501"/>
      <c r="SZ6" s="501"/>
      <c r="TA6" s="501"/>
      <c r="TB6" s="501"/>
      <c r="TC6" s="501"/>
      <c r="TD6" s="501"/>
      <c r="TE6" s="501"/>
      <c r="TF6" s="501"/>
      <c r="TG6" s="501"/>
      <c r="TH6" s="501"/>
      <c r="TI6" s="501"/>
      <c r="TJ6" s="501"/>
      <c r="TK6" s="501"/>
      <c r="TL6" s="501"/>
      <c r="TM6" s="501"/>
      <c r="TN6" s="501"/>
      <c r="TO6" s="501"/>
      <c r="TP6" s="501"/>
      <c r="TQ6" s="501"/>
      <c r="TR6" s="501"/>
      <c r="TS6" s="501"/>
      <c r="TT6" s="501"/>
      <c r="TU6" s="501"/>
      <c r="TV6" s="501"/>
      <c r="TW6" s="501"/>
      <c r="TX6" s="501"/>
      <c r="TY6" s="501"/>
      <c r="TZ6" s="501"/>
      <c r="UA6" s="501"/>
      <c r="UB6" s="501"/>
      <c r="UC6" s="501"/>
      <c r="UD6" s="501"/>
      <c r="UE6" s="501"/>
      <c r="UF6" s="501"/>
      <c r="UG6" s="501"/>
      <c r="UH6" s="501"/>
      <c r="UI6" s="501"/>
      <c r="UJ6" s="501"/>
      <c r="UK6" s="501"/>
      <c r="UL6" s="501"/>
      <c r="UM6" s="501"/>
      <c r="UN6" s="501"/>
      <c r="UO6" s="501"/>
      <c r="UP6" s="501"/>
      <c r="UQ6" s="501"/>
      <c r="UR6" s="501"/>
      <c r="US6" s="501"/>
      <c r="UT6" s="501"/>
      <c r="UU6" s="501"/>
      <c r="UV6" s="501"/>
      <c r="UW6" s="501"/>
      <c r="UX6" s="501"/>
      <c r="UY6" s="501"/>
      <c r="UZ6" s="501"/>
      <c r="VA6" s="501"/>
      <c r="VB6" s="501"/>
      <c r="VC6" s="501"/>
      <c r="VD6" s="501"/>
      <c r="VE6" s="501"/>
      <c r="VF6" s="501"/>
      <c r="VG6" s="501"/>
      <c r="VH6" s="501"/>
      <c r="VI6" s="501"/>
      <c r="VJ6" s="501"/>
      <c r="VK6" s="501"/>
      <c r="VL6" s="501"/>
      <c r="VM6" s="501"/>
      <c r="VN6" s="501"/>
      <c r="VO6" s="501"/>
      <c r="VP6" s="501"/>
      <c r="VQ6" s="501"/>
      <c r="VR6" s="501"/>
      <c r="VS6" s="501"/>
      <c r="VT6" s="501"/>
      <c r="VU6" s="501"/>
      <c r="VV6" s="501"/>
      <c r="VW6" s="501"/>
      <c r="VX6" s="501"/>
      <c r="VY6" s="501"/>
      <c r="VZ6" s="501"/>
      <c r="WA6" s="501"/>
      <c r="WB6" s="501"/>
      <c r="WC6" s="501"/>
      <c r="WD6" s="501"/>
      <c r="WE6" s="501"/>
      <c r="WF6" s="501"/>
      <c r="WG6" s="501"/>
      <c r="WH6" s="501"/>
      <c r="WI6" s="501"/>
      <c r="WJ6" s="501"/>
      <c r="WK6" s="501"/>
      <c r="WL6" s="501"/>
      <c r="WM6" s="501"/>
      <c r="WN6" s="501"/>
      <c r="WO6" s="501"/>
      <c r="WP6" s="501"/>
      <c r="WQ6" s="501"/>
      <c r="WR6" s="501"/>
      <c r="WS6" s="501"/>
      <c r="WT6" s="501"/>
      <c r="WU6" s="501"/>
      <c r="WV6" s="501"/>
      <c r="WW6" s="501"/>
      <c r="WX6" s="501"/>
      <c r="WY6" s="501"/>
      <c r="WZ6" s="501"/>
      <c r="XA6" s="501"/>
      <c r="XB6" s="501"/>
      <c r="XC6" s="501"/>
      <c r="XD6" s="501"/>
      <c r="XE6" s="501"/>
      <c r="XF6" s="501"/>
      <c r="XG6" s="501"/>
      <c r="XH6" s="501"/>
      <c r="XI6" s="501"/>
      <c r="XJ6" s="501"/>
      <c r="XK6" s="501"/>
      <c r="XL6" s="501"/>
      <c r="XM6" s="501"/>
      <c r="XN6" s="501"/>
      <c r="XO6" s="501"/>
      <c r="XP6" s="501"/>
      <c r="XQ6" s="501"/>
      <c r="XR6" s="501"/>
      <c r="XS6" s="501"/>
      <c r="XT6" s="501"/>
      <c r="XU6" s="501"/>
      <c r="XV6" s="501"/>
      <c r="XW6" s="501"/>
      <c r="XX6" s="501"/>
      <c r="XY6" s="501"/>
      <c r="XZ6" s="501"/>
      <c r="YA6" s="501"/>
      <c r="YB6" s="501"/>
      <c r="YC6" s="501"/>
      <c r="YD6" s="501"/>
      <c r="YE6" s="501"/>
      <c r="YF6" s="501"/>
      <c r="YG6" s="501"/>
      <c r="YH6" s="501"/>
      <c r="YI6" s="501"/>
      <c r="YJ6" s="501"/>
      <c r="YK6" s="501"/>
      <c r="YL6" s="501"/>
      <c r="YM6" s="501"/>
      <c r="YN6" s="501"/>
      <c r="YO6" s="501"/>
      <c r="YP6" s="501"/>
      <c r="YQ6" s="501"/>
      <c r="YR6" s="501"/>
      <c r="YS6" s="501"/>
      <c r="YT6" s="501"/>
      <c r="YU6" s="501"/>
      <c r="YV6" s="501"/>
      <c r="YW6" s="501"/>
      <c r="YX6" s="501"/>
      <c r="YY6" s="501"/>
      <c r="YZ6" s="501"/>
      <c r="ZA6" s="501"/>
      <c r="ZB6" s="501"/>
      <c r="ZC6" s="501"/>
      <c r="ZD6" s="501"/>
      <c r="ZE6" s="501"/>
      <c r="ZF6" s="501"/>
      <c r="ZG6" s="501"/>
      <c r="ZH6" s="501"/>
      <c r="ZI6" s="501"/>
      <c r="ZJ6" s="501"/>
      <c r="ZK6" s="501"/>
      <c r="ZL6" s="501"/>
      <c r="ZM6" s="501"/>
      <c r="ZN6" s="501"/>
      <c r="ZO6" s="501"/>
      <c r="ZP6" s="501"/>
      <c r="ZQ6" s="501"/>
      <c r="ZR6" s="501"/>
      <c r="ZS6" s="501"/>
      <c r="ZT6" s="501"/>
      <c r="ZU6" s="501"/>
      <c r="ZV6" s="501"/>
      <c r="ZW6" s="501"/>
      <c r="ZX6" s="501"/>
      <c r="ZY6" s="501"/>
      <c r="ZZ6" s="501"/>
      <c r="AAA6" s="501"/>
      <c r="AAB6" s="501"/>
      <c r="AAC6" s="501"/>
      <c r="AAD6" s="501"/>
      <c r="AAE6" s="501"/>
      <c r="AAF6" s="501"/>
      <c r="AAG6" s="501"/>
      <c r="AAH6" s="501"/>
      <c r="AAI6" s="501"/>
      <c r="AAJ6" s="501"/>
      <c r="AAK6" s="501"/>
      <c r="AAL6" s="501"/>
      <c r="AAM6" s="501"/>
      <c r="AAN6" s="501"/>
      <c r="AAO6" s="501"/>
      <c r="AAP6" s="501"/>
      <c r="AAQ6" s="501"/>
      <c r="AAR6" s="501"/>
      <c r="AAS6" s="501"/>
      <c r="AAT6" s="501"/>
      <c r="AAU6" s="501"/>
      <c r="AAV6" s="501"/>
      <c r="AAW6" s="501"/>
      <c r="AAX6" s="501"/>
      <c r="AAY6" s="501"/>
      <c r="AAZ6" s="501"/>
      <c r="ABA6" s="501"/>
      <c r="ABB6" s="501"/>
      <c r="ABC6" s="501"/>
      <c r="ABD6" s="501"/>
      <c r="ABE6" s="501"/>
      <c r="ABF6" s="501"/>
      <c r="ABG6" s="501"/>
      <c r="ABH6" s="501"/>
      <c r="ABI6" s="501"/>
      <c r="ABJ6" s="501"/>
      <c r="ABK6" s="501"/>
      <c r="ABL6" s="501"/>
      <c r="ABM6" s="501"/>
      <c r="ABN6" s="501"/>
      <c r="ABO6" s="501"/>
      <c r="ABP6" s="501"/>
      <c r="ABQ6" s="501"/>
      <c r="ABR6" s="501"/>
      <c r="ABS6" s="501"/>
      <c r="ABT6" s="501"/>
      <c r="ABU6" s="501"/>
      <c r="ABV6" s="501"/>
      <c r="ABW6" s="501"/>
      <c r="ABX6" s="501"/>
      <c r="ABY6" s="501"/>
      <c r="ABZ6" s="501"/>
      <c r="ACA6" s="501"/>
      <c r="ACB6" s="501"/>
      <c r="ACC6" s="501"/>
      <c r="ACD6" s="501"/>
      <c r="ACE6" s="501"/>
      <c r="ACF6" s="501"/>
      <c r="ACG6" s="501"/>
      <c r="ACH6" s="501"/>
      <c r="ACI6" s="501"/>
      <c r="ACJ6" s="501"/>
      <c r="ACK6" s="501"/>
      <c r="ACL6" s="501"/>
      <c r="ACM6" s="501"/>
      <c r="ACN6" s="501"/>
      <c r="ACO6" s="501"/>
      <c r="ACP6" s="501"/>
      <c r="ACQ6" s="501"/>
      <c r="ACR6" s="501"/>
      <c r="ACS6" s="501"/>
      <c r="ACT6" s="501"/>
      <c r="ACU6" s="501"/>
      <c r="ACV6" s="501"/>
      <c r="ACW6" s="501"/>
      <c r="ACX6" s="501"/>
      <c r="ACY6" s="501"/>
      <c r="ACZ6" s="501"/>
      <c r="ADA6" s="501"/>
      <c r="ADB6" s="501"/>
      <c r="ADC6" s="501"/>
      <c r="ADD6" s="501"/>
      <c r="ADE6" s="501"/>
      <c r="ADF6" s="501"/>
      <c r="ADG6" s="501"/>
      <c r="ADH6" s="501"/>
      <c r="ADI6" s="501"/>
      <c r="ADJ6" s="501"/>
      <c r="ADK6" s="501"/>
      <c r="ADL6" s="501"/>
      <c r="ADM6" s="501"/>
      <c r="ADN6" s="501"/>
      <c r="ADO6" s="501"/>
      <c r="ADP6" s="501"/>
      <c r="ADQ6" s="501"/>
      <c r="ADR6" s="501"/>
      <c r="ADS6" s="501"/>
      <c r="ADT6" s="501"/>
      <c r="ADU6" s="501"/>
      <c r="ADV6" s="501"/>
      <c r="ADW6" s="501"/>
      <c r="ADX6" s="501"/>
      <c r="ADY6" s="501"/>
      <c r="ADZ6" s="501"/>
      <c r="AEA6" s="501"/>
      <c r="AEB6" s="501"/>
      <c r="AEC6" s="501"/>
      <c r="AED6" s="501"/>
      <c r="AEE6" s="501"/>
      <c r="AEF6" s="501"/>
      <c r="AEG6" s="501"/>
      <c r="AEH6" s="501"/>
      <c r="AEI6" s="501"/>
      <c r="AEJ6" s="501"/>
      <c r="AEK6" s="501"/>
      <c r="AEL6" s="501"/>
      <c r="AEM6" s="501"/>
      <c r="AEN6" s="501"/>
      <c r="AEO6" s="501"/>
      <c r="AEP6" s="501"/>
      <c r="AEQ6" s="501"/>
      <c r="AER6" s="501"/>
      <c r="AES6" s="501"/>
      <c r="AET6" s="501"/>
      <c r="AEU6" s="501"/>
      <c r="AEV6" s="501"/>
      <c r="AEW6" s="501"/>
      <c r="AEX6" s="501"/>
      <c r="AEY6" s="501"/>
      <c r="AEZ6" s="501"/>
      <c r="AFA6" s="501"/>
      <c r="AFB6" s="501"/>
      <c r="AFC6" s="501"/>
      <c r="AFD6" s="501"/>
      <c r="AFE6" s="501"/>
      <c r="AFF6" s="501"/>
      <c r="AFG6" s="501"/>
      <c r="AFH6" s="501"/>
      <c r="AFI6" s="501"/>
      <c r="AFJ6" s="501"/>
      <c r="AFK6" s="501"/>
      <c r="AFL6" s="501"/>
      <c r="AFM6" s="501"/>
      <c r="AFN6" s="501"/>
      <c r="AFO6" s="501"/>
      <c r="AFP6" s="501"/>
      <c r="AFQ6" s="501"/>
      <c r="AFR6" s="501"/>
      <c r="AFS6" s="501"/>
      <c r="AFT6" s="501"/>
      <c r="AFU6" s="501"/>
      <c r="AFV6" s="501"/>
      <c r="AFW6" s="501"/>
      <c r="AFX6" s="501"/>
      <c r="AFY6" s="501"/>
      <c r="AFZ6" s="501"/>
      <c r="AGA6" s="501"/>
      <c r="AGB6" s="501"/>
      <c r="AGC6" s="501"/>
      <c r="AGD6" s="501"/>
      <c r="AGE6" s="501"/>
      <c r="AGF6" s="501"/>
      <c r="AGG6" s="501"/>
      <c r="AGH6" s="501"/>
      <c r="AGI6" s="501"/>
      <c r="AGJ6" s="501"/>
      <c r="AGK6" s="501"/>
      <c r="AGL6" s="501"/>
      <c r="AGM6" s="501"/>
      <c r="AGN6" s="501"/>
      <c r="AGO6" s="501"/>
      <c r="AGP6" s="501"/>
      <c r="AGQ6" s="501"/>
      <c r="AGR6" s="501"/>
      <c r="AGS6" s="501"/>
      <c r="AGT6" s="501"/>
      <c r="AGU6" s="501"/>
      <c r="AGV6" s="501"/>
      <c r="AGW6" s="501"/>
      <c r="AGX6" s="501"/>
      <c r="AGY6" s="501"/>
      <c r="AGZ6" s="501"/>
      <c r="AHA6" s="501"/>
      <c r="AHB6" s="501"/>
      <c r="AHC6" s="501"/>
      <c r="AHD6" s="501"/>
      <c r="AHE6" s="501"/>
      <c r="AHF6" s="501"/>
      <c r="AHG6" s="501"/>
      <c r="AHH6" s="501"/>
      <c r="AHI6" s="501"/>
      <c r="AHJ6" s="501"/>
      <c r="AHK6" s="501"/>
      <c r="AHL6" s="501"/>
      <c r="AHM6" s="501"/>
      <c r="AHN6" s="501"/>
      <c r="AHO6" s="501"/>
      <c r="AHP6" s="501"/>
      <c r="AHQ6" s="501"/>
      <c r="AHR6" s="501"/>
      <c r="AHS6" s="501"/>
      <c r="AHT6" s="501"/>
      <c r="AHU6" s="501"/>
      <c r="AHV6" s="501"/>
      <c r="AHW6" s="501"/>
      <c r="AHX6" s="501"/>
      <c r="AHY6" s="501"/>
      <c r="AHZ6" s="501"/>
      <c r="AIA6" s="501"/>
      <c r="AIB6" s="501"/>
      <c r="AIC6" s="501"/>
      <c r="AID6" s="501"/>
      <c r="AIE6" s="501"/>
      <c r="AIF6" s="501"/>
      <c r="AIG6" s="501"/>
      <c r="AIH6" s="501"/>
      <c r="AII6" s="501"/>
      <c r="AIJ6" s="501"/>
      <c r="AIK6" s="501"/>
      <c r="AIL6" s="501"/>
      <c r="AIM6" s="501"/>
      <c r="AIN6" s="501"/>
      <c r="AIO6" s="501"/>
      <c r="AIP6" s="501"/>
      <c r="AIQ6" s="501"/>
      <c r="AIR6" s="501"/>
      <c r="AIS6" s="501"/>
      <c r="AIT6" s="501"/>
      <c r="AIU6" s="501"/>
      <c r="AIV6" s="501"/>
      <c r="AIW6" s="501"/>
      <c r="AIX6" s="501"/>
      <c r="AIY6" s="501"/>
      <c r="AIZ6" s="501"/>
      <c r="AJA6" s="501"/>
      <c r="AJB6" s="501"/>
      <c r="AJC6" s="501"/>
      <c r="AJD6" s="501"/>
      <c r="AJE6" s="501"/>
      <c r="AJF6" s="501"/>
      <c r="AJG6" s="501"/>
      <c r="AJH6" s="501"/>
      <c r="AJI6" s="501"/>
      <c r="AJJ6" s="501"/>
      <c r="AJK6" s="501"/>
      <c r="AJL6" s="501"/>
      <c r="AJM6" s="501"/>
      <c r="AJN6" s="501"/>
      <c r="AJO6" s="501"/>
      <c r="AJP6" s="501"/>
      <c r="AJQ6" s="501"/>
      <c r="AJR6" s="501"/>
      <c r="AJS6" s="501"/>
      <c r="AJT6" s="501"/>
      <c r="AJU6" s="501"/>
      <c r="AJV6" s="501"/>
      <c r="AJW6" s="501"/>
      <c r="AJX6" s="501"/>
      <c r="AJY6" s="501"/>
      <c r="AJZ6" s="501"/>
      <c r="AKA6" s="501"/>
      <c r="AKB6" s="501"/>
      <c r="AKC6" s="501"/>
      <c r="AKD6" s="501"/>
      <c r="AKE6" s="501"/>
      <c r="AKF6" s="501"/>
      <c r="AKG6" s="501"/>
      <c r="AKH6" s="501"/>
      <c r="AKI6" s="501"/>
      <c r="AKJ6" s="501"/>
      <c r="AKK6" s="501"/>
      <c r="AKL6" s="501"/>
      <c r="AKM6" s="501"/>
      <c r="AKN6" s="501"/>
      <c r="AKO6" s="501"/>
      <c r="AKP6" s="501"/>
      <c r="AKQ6" s="501"/>
      <c r="AKR6" s="501"/>
      <c r="AKS6" s="501"/>
      <c r="AKT6" s="501"/>
      <c r="AKU6" s="501"/>
      <c r="AKV6" s="501"/>
      <c r="AKW6" s="501"/>
      <c r="AKX6" s="501"/>
      <c r="AKY6" s="501"/>
      <c r="AKZ6" s="501"/>
      <c r="ALA6" s="501"/>
      <c r="ALB6" s="501"/>
      <c r="ALC6" s="501"/>
      <c r="ALD6" s="501"/>
      <c r="ALE6" s="501"/>
      <c r="ALF6" s="501"/>
      <c r="ALG6" s="501"/>
      <c r="ALH6" s="501"/>
      <c r="ALI6" s="501"/>
      <c r="ALJ6" s="501"/>
      <c r="ALK6" s="501"/>
      <c r="ALL6" s="501"/>
      <c r="ALM6" s="501"/>
      <c r="ALN6" s="501"/>
      <c r="ALO6" s="501"/>
      <c r="ALP6" s="501"/>
      <c r="ALQ6" s="501"/>
      <c r="ALR6" s="501"/>
      <c r="ALS6" s="501"/>
      <c r="ALT6" s="501"/>
      <c r="ALU6" s="501"/>
      <c r="ALV6" s="501"/>
      <c r="ALW6" s="501"/>
      <c r="ALX6" s="501"/>
      <c r="ALY6" s="501"/>
      <c r="ALZ6" s="501"/>
      <c r="AMA6" s="501"/>
      <c r="AMB6" s="501"/>
      <c r="AMC6" s="501"/>
      <c r="AMD6" s="501"/>
      <c r="AME6" s="501"/>
      <c r="AMF6" s="501"/>
      <c r="AMG6" s="501"/>
      <c r="AMH6" s="501"/>
      <c r="AMI6" s="501"/>
      <c r="AMJ6" s="501"/>
      <c r="AMK6" s="501"/>
      <c r="AML6" s="501"/>
      <c r="AMM6" s="501"/>
      <c r="AMN6" s="501"/>
      <c r="AMO6" s="501"/>
      <c r="AMP6" s="501"/>
      <c r="AMQ6" s="501"/>
      <c r="AMR6" s="501"/>
      <c r="AMS6" s="501"/>
      <c r="AMT6" s="501"/>
      <c r="AMU6" s="501"/>
      <c r="AMV6" s="501"/>
      <c r="AMW6" s="501"/>
      <c r="AMX6" s="501"/>
      <c r="AMY6" s="501"/>
      <c r="AMZ6" s="501"/>
      <c r="ANA6" s="501"/>
      <c r="ANB6" s="501"/>
      <c r="ANC6" s="501"/>
      <c r="AND6" s="501"/>
      <c r="ANE6" s="501"/>
      <c r="ANF6" s="501"/>
      <c r="ANG6" s="501"/>
      <c r="ANH6" s="501"/>
      <c r="ANI6" s="501"/>
      <c r="ANJ6" s="501"/>
      <c r="ANK6" s="501"/>
      <c r="ANL6" s="501"/>
      <c r="ANM6" s="501"/>
      <c r="ANN6" s="501"/>
      <c r="ANO6" s="501"/>
      <c r="ANP6" s="501"/>
      <c r="ANQ6" s="501"/>
      <c r="ANR6" s="501"/>
      <c r="ANS6" s="501"/>
      <c r="ANT6" s="501"/>
      <c r="ANU6" s="501"/>
      <c r="ANV6" s="501"/>
      <c r="ANW6" s="501"/>
      <c r="ANX6" s="501"/>
      <c r="ANY6" s="501"/>
      <c r="ANZ6" s="501"/>
      <c r="AOA6" s="501"/>
      <c r="AOB6" s="501"/>
      <c r="AOC6" s="501"/>
      <c r="AOD6" s="501"/>
      <c r="AOE6" s="501"/>
      <c r="AOF6" s="501"/>
      <c r="AOG6" s="501"/>
      <c r="AOH6" s="501"/>
      <c r="AOI6" s="501"/>
      <c r="AOJ6" s="501"/>
      <c r="AOK6" s="501"/>
      <c r="AOL6" s="501"/>
      <c r="AOM6" s="501"/>
      <c r="AON6" s="501"/>
      <c r="AOO6" s="501"/>
      <c r="AOP6" s="501"/>
      <c r="AOQ6" s="501"/>
      <c r="AOR6" s="501"/>
      <c r="AOS6" s="501"/>
      <c r="AOT6" s="501"/>
      <c r="AOU6" s="501"/>
      <c r="AOV6" s="501"/>
      <c r="AOW6" s="501"/>
      <c r="AOX6" s="501"/>
      <c r="AOY6" s="501"/>
      <c r="AOZ6" s="501"/>
      <c r="APA6" s="501"/>
      <c r="APB6" s="501"/>
      <c r="APC6" s="501"/>
      <c r="APD6" s="501"/>
      <c r="APE6" s="501"/>
      <c r="APF6" s="501"/>
      <c r="APG6" s="501"/>
      <c r="APH6" s="501"/>
      <c r="API6" s="501"/>
      <c r="APJ6" s="501"/>
      <c r="APK6" s="501"/>
      <c r="APL6" s="501"/>
      <c r="APM6" s="501"/>
      <c r="APN6" s="501"/>
      <c r="APO6" s="501"/>
      <c r="APP6" s="501"/>
      <c r="APQ6" s="501"/>
      <c r="APR6" s="501"/>
      <c r="APS6" s="501"/>
      <c r="APT6" s="501"/>
      <c r="APU6" s="501"/>
      <c r="APV6" s="501"/>
      <c r="APW6" s="501"/>
      <c r="APX6" s="501"/>
      <c r="APY6" s="501"/>
      <c r="APZ6" s="501"/>
      <c r="AQA6" s="501"/>
      <c r="AQB6" s="501"/>
      <c r="AQC6" s="501"/>
      <c r="AQD6" s="501"/>
      <c r="AQE6" s="501"/>
      <c r="AQF6" s="501"/>
      <c r="AQG6" s="501"/>
      <c r="AQH6" s="501"/>
      <c r="AQI6" s="501"/>
      <c r="AQJ6" s="501"/>
      <c r="AQK6" s="501"/>
      <c r="AQL6" s="501"/>
      <c r="AQM6" s="501"/>
      <c r="AQN6" s="501"/>
      <c r="AQO6" s="501"/>
      <c r="AQP6" s="501"/>
      <c r="AQQ6" s="501"/>
      <c r="AQR6" s="501"/>
      <c r="AQS6" s="501"/>
      <c r="AQT6" s="501"/>
      <c r="AQU6" s="501"/>
      <c r="AQV6" s="501"/>
      <c r="AQW6" s="501"/>
      <c r="AQX6" s="501"/>
      <c r="AQY6" s="501"/>
      <c r="AQZ6" s="501"/>
      <c r="ARA6" s="501"/>
      <c r="ARB6" s="501"/>
      <c r="ARC6" s="501"/>
      <c r="ARD6" s="501"/>
      <c r="ARE6" s="501"/>
      <c r="ARF6" s="501"/>
      <c r="ARG6" s="501"/>
      <c r="ARH6" s="501"/>
      <c r="ARI6" s="501"/>
      <c r="ARJ6" s="501"/>
      <c r="ARK6" s="501"/>
      <c r="ARL6" s="501"/>
      <c r="ARM6" s="501"/>
      <c r="ARN6" s="501"/>
      <c r="ARO6" s="501"/>
      <c r="ARP6" s="501"/>
      <c r="ARQ6" s="501"/>
      <c r="ARR6" s="501"/>
      <c r="ARS6" s="501"/>
      <c r="ART6" s="501"/>
      <c r="ARU6" s="501"/>
      <c r="ARV6" s="501"/>
      <c r="ARW6" s="501"/>
      <c r="ARX6" s="501"/>
      <c r="ARY6" s="501"/>
      <c r="ARZ6" s="501"/>
      <c r="ASA6" s="501"/>
      <c r="ASB6" s="501"/>
      <c r="ASC6" s="501"/>
      <c r="ASD6" s="501"/>
      <c r="ASE6" s="501"/>
      <c r="ASF6" s="501"/>
      <c r="ASG6" s="501"/>
      <c r="ASH6" s="501"/>
      <c r="ASI6" s="501"/>
      <c r="ASJ6" s="501"/>
      <c r="ASK6" s="501"/>
      <c r="ASL6" s="501"/>
      <c r="ASM6" s="501"/>
      <c r="ASN6" s="501"/>
      <c r="ASO6" s="501"/>
      <c r="ASP6" s="501"/>
      <c r="ASQ6" s="501"/>
      <c r="ASR6" s="501"/>
      <c r="ASS6" s="501"/>
      <c r="AST6" s="501"/>
      <c r="ASU6" s="501"/>
      <c r="ASV6" s="501"/>
      <c r="ASW6" s="501"/>
      <c r="ASX6" s="501"/>
      <c r="ASY6" s="501"/>
      <c r="ASZ6" s="501"/>
      <c r="ATA6" s="501"/>
      <c r="ATB6" s="501"/>
      <c r="ATC6" s="501"/>
      <c r="ATD6" s="501"/>
      <c r="ATE6" s="501"/>
      <c r="ATF6" s="501"/>
      <c r="ATG6" s="501"/>
      <c r="ATH6" s="501"/>
      <c r="ATI6" s="501"/>
      <c r="ATJ6" s="501"/>
      <c r="ATK6" s="501"/>
      <c r="ATL6" s="501"/>
      <c r="ATM6" s="501"/>
      <c r="ATN6" s="501"/>
      <c r="ATO6" s="501"/>
      <c r="ATP6" s="501"/>
      <c r="ATQ6" s="501"/>
      <c r="ATR6" s="501"/>
      <c r="ATS6" s="501"/>
      <c r="ATT6" s="501"/>
      <c r="ATU6" s="501"/>
      <c r="ATV6" s="501"/>
      <c r="ATW6" s="501"/>
      <c r="ATX6" s="501"/>
      <c r="ATY6" s="501"/>
      <c r="ATZ6" s="501"/>
      <c r="AUA6" s="501"/>
      <c r="AUB6" s="501"/>
      <c r="AUC6" s="501"/>
      <c r="AUD6" s="501"/>
      <c r="AUE6" s="501"/>
      <c r="AUF6" s="501"/>
      <c r="AUG6" s="501"/>
      <c r="AUH6" s="501"/>
      <c r="AUI6" s="501"/>
      <c r="AUJ6" s="501"/>
      <c r="AUK6" s="501"/>
      <c r="AUL6" s="501"/>
      <c r="AUM6" s="501"/>
      <c r="AUN6" s="501"/>
      <c r="AUO6" s="501"/>
      <c r="AUP6" s="501"/>
      <c r="AUQ6" s="501"/>
      <c r="AUR6" s="501"/>
      <c r="AUS6" s="501"/>
      <c r="AUT6" s="501"/>
      <c r="AUU6" s="501"/>
      <c r="AUV6" s="501"/>
      <c r="AUW6" s="501"/>
      <c r="AUX6" s="501"/>
      <c r="AUY6" s="501"/>
      <c r="AUZ6" s="501"/>
      <c r="AVA6" s="501"/>
      <c r="AVB6" s="501"/>
      <c r="AVC6" s="501"/>
      <c r="AVD6" s="501"/>
      <c r="AVE6" s="501"/>
      <c r="AVF6" s="501"/>
      <c r="AVG6" s="501"/>
      <c r="AVH6" s="501"/>
      <c r="AVI6" s="501"/>
      <c r="AVJ6" s="501"/>
      <c r="AVK6" s="501"/>
      <c r="AVL6" s="501"/>
      <c r="AVM6" s="501"/>
      <c r="AVN6" s="501"/>
      <c r="AVO6" s="501"/>
      <c r="AVP6" s="501"/>
      <c r="AVQ6" s="501"/>
      <c r="AVR6" s="501"/>
      <c r="AVS6" s="501"/>
      <c r="AVT6" s="501"/>
      <c r="AVU6" s="501"/>
      <c r="AVV6" s="501"/>
      <c r="AVW6" s="501"/>
      <c r="AVX6" s="501"/>
      <c r="AVY6" s="501"/>
      <c r="AVZ6" s="501"/>
      <c r="AWA6" s="501"/>
      <c r="AWB6" s="501"/>
      <c r="AWC6" s="501"/>
      <c r="AWD6" s="501"/>
      <c r="AWE6" s="501"/>
      <c r="AWF6" s="501"/>
      <c r="AWG6" s="501"/>
      <c r="AWH6" s="501"/>
      <c r="AWI6" s="501"/>
      <c r="AWJ6" s="501"/>
      <c r="AWK6" s="501"/>
      <c r="AWL6" s="501"/>
      <c r="AWM6" s="501"/>
      <c r="AWN6" s="501"/>
      <c r="AWO6" s="501"/>
      <c r="AWP6" s="501"/>
      <c r="AWQ6" s="501"/>
      <c r="AWR6" s="501"/>
      <c r="AWS6" s="501"/>
      <c r="AWT6" s="501"/>
      <c r="AWU6" s="501"/>
      <c r="AWV6" s="501"/>
      <c r="AWW6" s="501"/>
      <c r="AWX6" s="501"/>
      <c r="AWY6" s="501"/>
      <c r="AWZ6" s="501"/>
      <c r="AXA6" s="501"/>
      <c r="AXB6" s="501"/>
      <c r="AXC6" s="501"/>
      <c r="AXD6" s="501"/>
      <c r="AXE6" s="501"/>
      <c r="AXF6" s="501"/>
      <c r="AXG6" s="501"/>
      <c r="AXH6" s="501"/>
      <c r="AXI6" s="501"/>
      <c r="AXJ6" s="501"/>
      <c r="AXK6" s="501"/>
      <c r="AXL6" s="501"/>
      <c r="AXM6" s="501"/>
      <c r="AXN6" s="501"/>
      <c r="AXO6" s="501"/>
      <c r="AXP6" s="501"/>
      <c r="AXQ6" s="501"/>
      <c r="AXR6" s="501"/>
      <c r="AXS6" s="501"/>
      <c r="AXT6" s="501"/>
      <c r="AXU6" s="501"/>
      <c r="AXV6" s="501"/>
      <c r="AXW6" s="501"/>
      <c r="AXX6" s="501"/>
      <c r="AXY6" s="501"/>
      <c r="AXZ6" s="501"/>
      <c r="AYA6" s="501"/>
      <c r="AYB6" s="501"/>
      <c r="AYC6" s="501"/>
      <c r="AYD6" s="501"/>
      <c r="AYE6" s="501"/>
      <c r="AYF6" s="501"/>
      <c r="AYG6" s="501"/>
      <c r="AYH6" s="501"/>
      <c r="AYI6" s="501"/>
      <c r="AYJ6" s="501"/>
      <c r="AYK6" s="501"/>
      <c r="AYL6" s="501"/>
      <c r="AYM6" s="501"/>
      <c r="AYN6" s="501"/>
      <c r="AYO6" s="501"/>
      <c r="AYP6" s="501"/>
      <c r="AYQ6" s="501"/>
      <c r="AYR6" s="501"/>
      <c r="AYS6" s="501"/>
      <c r="AYT6" s="501"/>
      <c r="AYU6" s="501"/>
      <c r="AYV6" s="501"/>
      <c r="AYW6" s="501"/>
      <c r="AYX6" s="501"/>
      <c r="AYY6" s="501"/>
      <c r="AYZ6" s="501"/>
      <c r="AZA6" s="501"/>
      <c r="AZB6" s="501"/>
      <c r="AZC6" s="501"/>
      <c r="AZD6" s="501"/>
      <c r="AZE6" s="501"/>
      <c r="AZF6" s="501"/>
      <c r="AZG6" s="501"/>
      <c r="AZH6" s="501"/>
      <c r="AZI6" s="501"/>
      <c r="AZJ6" s="501"/>
      <c r="AZK6" s="501"/>
      <c r="AZL6" s="501"/>
      <c r="AZM6" s="501"/>
      <c r="AZN6" s="501"/>
      <c r="AZO6" s="501"/>
      <c r="AZP6" s="501"/>
      <c r="AZQ6" s="501"/>
      <c r="AZR6" s="501"/>
      <c r="AZS6" s="501"/>
      <c r="AZT6" s="501"/>
      <c r="AZU6" s="501"/>
      <c r="AZV6" s="501"/>
      <c r="AZW6" s="501"/>
      <c r="AZX6" s="501"/>
      <c r="AZY6" s="501"/>
      <c r="AZZ6" s="501"/>
      <c r="BAA6" s="501"/>
      <c r="BAB6" s="501"/>
      <c r="BAC6" s="501"/>
      <c r="BAD6" s="501"/>
      <c r="BAE6" s="501"/>
      <c r="BAF6" s="501"/>
      <c r="BAG6" s="501"/>
      <c r="BAH6" s="501"/>
      <c r="BAI6" s="501"/>
      <c r="BAJ6" s="501"/>
      <c r="BAK6" s="501"/>
      <c r="BAL6" s="501"/>
      <c r="BAM6" s="501"/>
      <c r="BAN6" s="501"/>
      <c r="BAO6" s="501"/>
      <c r="BAP6" s="501"/>
      <c r="BAQ6" s="501"/>
      <c r="BAR6" s="501"/>
      <c r="BAS6" s="501"/>
      <c r="BAT6" s="501"/>
      <c r="BAU6" s="501"/>
      <c r="BAV6" s="501"/>
      <c r="BAW6" s="501"/>
      <c r="BAX6" s="501"/>
      <c r="BAY6" s="501"/>
      <c r="BAZ6" s="501"/>
      <c r="BBA6" s="501"/>
      <c r="BBB6" s="501"/>
      <c r="BBC6" s="501"/>
      <c r="BBD6" s="501"/>
      <c r="BBE6" s="501"/>
      <c r="BBF6" s="501"/>
      <c r="BBG6" s="501"/>
      <c r="BBH6" s="501"/>
      <c r="BBI6" s="501"/>
      <c r="BBJ6" s="501"/>
      <c r="BBK6" s="501"/>
      <c r="BBL6" s="501"/>
      <c r="BBM6" s="501"/>
      <c r="BBN6" s="501"/>
      <c r="BBO6" s="501"/>
      <c r="BBP6" s="501"/>
      <c r="BBQ6" s="501"/>
      <c r="BBR6" s="501"/>
      <c r="BBS6" s="501"/>
      <c r="BBT6" s="501"/>
      <c r="BBU6" s="501"/>
      <c r="BBV6" s="501"/>
      <c r="BBW6" s="501"/>
      <c r="BBX6" s="501"/>
      <c r="BBY6" s="501"/>
      <c r="BBZ6" s="501"/>
      <c r="BCA6" s="501"/>
      <c r="BCB6" s="501"/>
      <c r="BCC6" s="501"/>
      <c r="BCD6" s="501"/>
      <c r="BCE6" s="501"/>
      <c r="BCF6" s="501"/>
      <c r="BCG6" s="501"/>
      <c r="BCH6" s="501"/>
      <c r="BCI6" s="501"/>
      <c r="BCJ6" s="501"/>
      <c r="BCK6" s="501"/>
      <c r="BCL6" s="501"/>
      <c r="BCM6" s="501"/>
      <c r="BCN6" s="501"/>
      <c r="BCO6" s="501"/>
      <c r="BCP6" s="501"/>
      <c r="BCQ6" s="501"/>
      <c r="BCR6" s="501"/>
      <c r="BCS6" s="501"/>
      <c r="BCT6" s="501"/>
      <c r="BCU6" s="501"/>
      <c r="BCV6" s="501"/>
      <c r="BCW6" s="501"/>
      <c r="BCX6" s="501"/>
      <c r="BCY6" s="501"/>
      <c r="BCZ6" s="501"/>
      <c r="BDA6" s="501"/>
      <c r="BDB6" s="501"/>
      <c r="BDC6" s="501"/>
      <c r="BDD6" s="501"/>
      <c r="BDE6" s="501"/>
      <c r="BDF6" s="501"/>
      <c r="BDG6" s="501"/>
      <c r="BDH6" s="501"/>
      <c r="BDI6" s="501"/>
      <c r="BDJ6" s="501"/>
      <c r="BDK6" s="501"/>
      <c r="BDL6" s="501"/>
      <c r="BDM6" s="501"/>
      <c r="BDN6" s="501"/>
      <c r="BDO6" s="501"/>
      <c r="BDP6" s="501"/>
      <c r="BDQ6" s="501"/>
      <c r="BDR6" s="501"/>
      <c r="BDS6" s="501"/>
      <c r="BDT6" s="501"/>
      <c r="BDU6" s="501"/>
      <c r="BDV6" s="501"/>
      <c r="BDW6" s="501"/>
      <c r="BDX6" s="501"/>
      <c r="BDY6" s="501"/>
      <c r="BDZ6" s="501"/>
      <c r="BEA6" s="501"/>
      <c r="BEB6" s="501"/>
      <c r="BEC6" s="501"/>
      <c r="BED6" s="501"/>
      <c r="BEE6" s="501"/>
      <c r="BEF6" s="501"/>
      <c r="BEG6" s="501"/>
      <c r="BEH6" s="501"/>
      <c r="BEI6" s="501"/>
      <c r="BEJ6" s="501"/>
      <c r="BEK6" s="501"/>
      <c r="BEL6" s="501"/>
      <c r="BEM6" s="501"/>
      <c r="BEN6" s="501"/>
      <c r="BEO6" s="501"/>
      <c r="BEP6" s="501"/>
      <c r="BEQ6" s="501"/>
      <c r="BER6" s="501"/>
      <c r="BES6" s="501"/>
      <c r="BET6" s="501"/>
      <c r="BEU6" s="501"/>
      <c r="BEV6" s="501"/>
      <c r="BEW6" s="501"/>
      <c r="BEX6" s="501"/>
      <c r="BEY6" s="501"/>
      <c r="BEZ6" s="501"/>
      <c r="BFA6" s="501"/>
      <c r="BFB6" s="501"/>
      <c r="BFC6" s="501"/>
      <c r="BFD6" s="501"/>
      <c r="BFE6" s="501"/>
      <c r="BFF6" s="501"/>
      <c r="BFG6" s="501"/>
      <c r="BFH6" s="501"/>
      <c r="BFI6" s="501"/>
      <c r="BFJ6" s="501"/>
      <c r="BFK6" s="501"/>
      <c r="BFL6" s="501"/>
      <c r="BFM6" s="501"/>
      <c r="BFN6" s="501"/>
      <c r="BFO6" s="501"/>
      <c r="BFP6" s="501"/>
      <c r="BFQ6" s="501"/>
      <c r="BFR6" s="501"/>
      <c r="BFS6" s="501"/>
      <c r="BFT6" s="501"/>
      <c r="BFU6" s="501"/>
      <c r="BFV6" s="501"/>
      <c r="BFW6" s="501"/>
      <c r="BFX6" s="501"/>
      <c r="BFY6" s="501"/>
      <c r="BFZ6" s="501"/>
      <c r="BGA6" s="501"/>
      <c r="BGB6" s="501"/>
      <c r="BGC6" s="501"/>
      <c r="BGD6" s="501"/>
      <c r="BGE6" s="501"/>
      <c r="BGF6" s="501"/>
      <c r="BGG6" s="501"/>
      <c r="BGH6" s="501"/>
      <c r="BGI6" s="501"/>
      <c r="BGJ6" s="501"/>
      <c r="BGK6" s="501"/>
      <c r="BGL6" s="501"/>
      <c r="BGM6" s="501"/>
      <c r="BGN6" s="501"/>
      <c r="BGO6" s="501"/>
      <c r="BGP6" s="501"/>
      <c r="BGQ6" s="501"/>
      <c r="BGR6" s="501"/>
      <c r="BGS6" s="501"/>
      <c r="BGT6" s="501"/>
      <c r="BGU6" s="501"/>
      <c r="BGV6" s="501"/>
      <c r="BGW6" s="501"/>
      <c r="BGX6" s="501"/>
      <c r="BGY6" s="501"/>
      <c r="BGZ6" s="501"/>
      <c r="BHA6" s="501"/>
      <c r="BHB6" s="501"/>
      <c r="BHC6" s="501"/>
      <c r="BHD6" s="501"/>
      <c r="BHE6" s="501"/>
      <c r="BHF6" s="501"/>
      <c r="BHG6" s="501"/>
      <c r="BHH6" s="501"/>
      <c r="BHI6" s="501"/>
      <c r="BHJ6" s="501"/>
      <c r="BHK6" s="501"/>
      <c r="BHL6" s="501"/>
      <c r="BHM6" s="501"/>
      <c r="BHN6" s="501"/>
      <c r="BHO6" s="501"/>
      <c r="BHP6" s="501"/>
      <c r="BHQ6" s="501"/>
      <c r="BHR6" s="501"/>
      <c r="BHS6" s="501"/>
      <c r="BHT6" s="501"/>
      <c r="BHU6" s="501"/>
      <c r="BHV6" s="501"/>
      <c r="BHW6" s="501"/>
      <c r="BHX6" s="501"/>
      <c r="BHY6" s="501"/>
      <c r="BHZ6" s="501"/>
      <c r="BIA6" s="501"/>
      <c r="BIB6" s="501"/>
      <c r="BIC6" s="501"/>
      <c r="BID6" s="501"/>
      <c r="BIE6" s="501"/>
      <c r="BIF6" s="501"/>
      <c r="BIG6" s="501"/>
      <c r="BIH6" s="501"/>
      <c r="BII6" s="501"/>
      <c r="BIJ6" s="501"/>
      <c r="BIK6" s="501"/>
      <c r="BIL6" s="501"/>
      <c r="BIM6" s="501"/>
      <c r="BIN6" s="501"/>
      <c r="BIO6" s="501"/>
      <c r="BIP6" s="501"/>
      <c r="BIQ6" s="501"/>
      <c r="BIR6" s="501"/>
      <c r="BIS6" s="501"/>
      <c r="BIT6" s="501"/>
      <c r="BIU6" s="501"/>
      <c r="BIV6" s="501"/>
      <c r="BIW6" s="501"/>
      <c r="BIX6" s="501"/>
      <c r="BIY6" s="501"/>
      <c r="BIZ6" s="501"/>
      <c r="BJA6" s="501"/>
      <c r="BJB6" s="501"/>
      <c r="BJC6" s="501"/>
      <c r="BJD6" s="501"/>
      <c r="BJE6" s="501"/>
      <c r="BJF6" s="501"/>
      <c r="BJG6" s="501"/>
      <c r="BJH6" s="501"/>
      <c r="BJI6" s="501"/>
      <c r="BJJ6" s="501"/>
      <c r="BJK6" s="501"/>
      <c r="BJL6" s="501"/>
      <c r="BJM6" s="501"/>
      <c r="BJN6" s="501"/>
      <c r="BJO6" s="501"/>
      <c r="BJP6" s="501"/>
      <c r="BJQ6" s="501"/>
      <c r="BJR6" s="501"/>
      <c r="BJS6" s="501"/>
      <c r="BJT6" s="501"/>
      <c r="BJU6" s="501"/>
      <c r="BJV6" s="501"/>
      <c r="BJW6" s="501"/>
      <c r="BJX6" s="501"/>
      <c r="BJY6" s="501"/>
      <c r="BJZ6" s="501"/>
      <c r="BKA6" s="501"/>
      <c r="BKB6" s="501"/>
      <c r="BKC6" s="501"/>
      <c r="BKD6" s="501"/>
      <c r="BKE6" s="501"/>
      <c r="BKF6" s="501"/>
      <c r="BKG6" s="501"/>
      <c r="BKH6" s="501"/>
      <c r="BKI6" s="501"/>
      <c r="BKJ6" s="501"/>
      <c r="BKK6" s="501"/>
      <c r="BKL6" s="501"/>
      <c r="BKM6" s="501"/>
      <c r="BKN6" s="501"/>
      <c r="BKO6" s="501"/>
      <c r="BKP6" s="501"/>
      <c r="BKQ6" s="501"/>
      <c r="BKR6" s="501"/>
      <c r="BKS6" s="501"/>
      <c r="BKT6" s="501"/>
      <c r="BKU6" s="501"/>
      <c r="BKV6" s="501"/>
      <c r="BKW6" s="501"/>
      <c r="BKX6" s="501"/>
      <c r="BKY6" s="501"/>
      <c r="BKZ6" s="501"/>
      <c r="BLA6" s="501"/>
      <c r="BLB6" s="501"/>
      <c r="BLC6" s="501"/>
      <c r="BLD6" s="501"/>
      <c r="BLE6" s="501"/>
      <c r="BLF6" s="501"/>
      <c r="BLG6" s="501"/>
      <c r="BLH6" s="501"/>
      <c r="BLI6" s="501"/>
      <c r="BLJ6" s="501"/>
      <c r="BLK6" s="501"/>
      <c r="BLL6" s="501"/>
      <c r="BLM6" s="501"/>
      <c r="BLN6" s="501"/>
      <c r="BLO6" s="501"/>
      <c r="BLP6" s="501"/>
      <c r="BLQ6" s="501"/>
      <c r="BLR6" s="501"/>
      <c r="BLS6" s="501"/>
      <c r="BLT6" s="501"/>
      <c r="BLU6" s="501"/>
      <c r="BLV6" s="501"/>
      <c r="BLW6" s="501"/>
      <c r="BLX6" s="501"/>
      <c r="BLY6" s="501"/>
      <c r="BLZ6" s="501"/>
      <c r="BMA6" s="501"/>
      <c r="BMB6" s="501"/>
      <c r="BMC6" s="501"/>
      <c r="BMD6" s="501"/>
      <c r="BME6" s="501"/>
      <c r="BMF6" s="501"/>
      <c r="BMG6" s="501"/>
      <c r="BMH6" s="501"/>
      <c r="BMI6" s="501"/>
      <c r="BMJ6" s="501"/>
      <c r="BMK6" s="501"/>
      <c r="BML6" s="501"/>
      <c r="BMM6" s="501"/>
      <c r="BMN6" s="501"/>
      <c r="BMO6" s="501"/>
      <c r="BMP6" s="501"/>
      <c r="BMQ6" s="501"/>
      <c r="BMR6" s="501"/>
      <c r="BMS6" s="501"/>
      <c r="BMT6" s="501"/>
      <c r="BMU6" s="501"/>
      <c r="BMV6" s="501"/>
      <c r="BMW6" s="501"/>
      <c r="BMX6" s="501"/>
      <c r="BMY6" s="501"/>
      <c r="BMZ6" s="501"/>
      <c r="BNA6" s="501"/>
      <c r="BNB6" s="501"/>
      <c r="BNC6" s="501"/>
      <c r="BND6" s="501"/>
      <c r="BNE6" s="501"/>
      <c r="BNF6" s="501"/>
      <c r="BNG6" s="501"/>
      <c r="BNH6" s="501"/>
      <c r="BNI6" s="501"/>
      <c r="BNJ6" s="501"/>
      <c r="BNK6" s="501"/>
      <c r="BNL6" s="501"/>
      <c r="BNM6" s="501"/>
      <c r="BNN6" s="501"/>
      <c r="BNO6" s="501"/>
      <c r="BNP6" s="501"/>
      <c r="BNQ6" s="501"/>
      <c r="BNR6" s="501"/>
      <c r="BNS6" s="501"/>
      <c r="BNT6" s="501"/>
      <c r="BNU6" s="501"/>
      <c r="BNV6" s="501"/>
      <c r="BNW6" s="501"/>
      <c r="BNX6" s="501"/>
      <c r="BNY6" s="501"/>
      <c r="BNZ6" s="501"/>
      <c r="BOA6" s="501"/>
      <c r="BOB6" s="501"/>
      <c r="BOC6" s="501"/>
      <c r="BOD6" s="501"/>
      <c r="BOE6" s="501"/>
      <c r="BOF6" s="501"/>
      <c r="BOG6" s="501"/>
      <c r="BOH6" s="501"/>
      <c r="BOI6" s="501"/>
      <c r="BOJ6" s="501"/>
      <c r="BOK6" s="501"/>
      <c r="BOL6" s="501"/>
      <c r="BOM6" s="501"/>
      <c r="BON6" s="501"/>
      <c r="BOO6" s="501"/>
      <c r="BOP6" s="501"/>
      <c r="BOQ6" s="501"/>
      <c r="BOR6" s="501"/>
      <c r="BOS6" s="501"/>
      <c r="BOT6" s="501"/>
      <c r="BOU6" s="501"/>
      <c r="BOV6" s="501"/>
      <c r="BOW6" s="501"/>
      <c r="BOX6" s="501"/>
      <c r="BOY6" s="501"/>
      <c r="BOZ6" s="501"/>
      <c r="BPA6" s="501"/>
      <c r="BPB6" s="501"/>
      <c r="BPC6" s="501"/>
      <c r="BPD6" s="501"/>
      <c r="BPE6" s="501"/>
      <c r="BPF6" s="501"/>
      <c r="BPG6" s="501"/>
      <c r="BPH6" s="501"/>
      <c r="BPI6" s="501"/>
      <c r="BPJ6" s="501"/>
      <c r="BPK6" s="501"/>
      <c r="BPL6" s="501"/>
      <c r="BPM6" s="501"/>
      <c r="BPN6" s="501"/>
      <c r="BPO6" s="501"/>
      <c r="BPP6" s="501"/>
      <c r="BPQ6" s="501"/>
      <c r="BPR6" s="501"/>
      <c r="BPS6" s="501"/>
      <c r="BPT6" s="501"/>
      <c r="BPU6" s="501"/>
      <c r="BPV6" s="501"/>
      <c r="BPW6" s="501"/>
      <c r="BPX6" s="501"/>
      <c r="BPY6" s="501"/>
      <c r="BPZ6" s="501"/>
      <c r="BQA6" s="501"/>
      <c r="BQB6" s="501"/>
      <c r="BQC6" s="501"/>
      <c r="BQD6" s="501"/>
      <c r="BQE6" s="501"/>
      <c r="BQF6" s="501"/>
      <c r="BQG6" s="501"/>
      <c r="BQH6" s="501"/>
      <c r="BQI6" s="501"/>
      <c r="BQJ6" s="501"/>
      <c r="BQK6" s="501"/>
      <c r="BQL6" s="501"/>
      <c r="BQM6" s="501"/>
      <c r="BQN6" s="501"/>
      <c r="BQO6" s="501"/>
      <c r="BQP6" s="501"/>
      <c r="BQQ6" s="501"/>
      <c r="BQR6" s="501"/>
      <c r="BQS6" s="501"/>
      <c r="BQT6" s="501"/>
      <c r="BQU6" s="501"/>
      <c r="BQV6" s="501"/>
      <c r="BQW6" s="501"/>
      <c r="BQX6" s="501"/>
      <c r="BQY6" s="501"/>
      <c r="BQZ6" s="501"/>
      <c r="BRA6" s="501"/>
      <c r="BRB6" s="501"/>
      <c r="BRC6" s="501"/>
      <c r="BRD6" s="501"/>
      <c r="BRE6" s="501"/>
      <c r="BRF6" s="501"/>
      <c r="BRG6" s="501"/>
      <c r="BRH6" s="501"/>
      <c r="BRI6" s="501"/>
      <c r="BRJ6" s="501"/>
      <c r="BRK6" s="501"/>
      <c r="BRL6" s="501"/>
      <c r="BRM6" s="501"/>
      <c r="BRN6" s="501"/>
      <c r="BRO6" s="501"/>
      <c r="BRP6" s="501"/>
      <c r="BRQ6" s="501"/>
      <c r="BRR6" s="501"/>
      <c r="BRS6" s="501"/>
      <c r="BRT6" s="501"/>
      <c r="BRU6" s="501"/>
      <c r="BRV6" s="501"/>
      <c r="BRW6" s="501"/>
      <c r="BRX6" s="501"/>
      <c r="BRY6" s="501"/>
      <c r="BRZ6" s="501"/>
      <c r="BSA6" s="501"/>
      <c r="BSB6" s="501"/>
      <c r="BSC6" s="501"/>
    </row>
    <row r="7" spans="1:1849" s="502" customFormat="1" ht="15" x14ac:dyDescent="0.2">
      <c r="A7" s="503">
        <v>6</v>
      </c>
      <c r="B7" s="504" t="s">
        <v>25</v>
      </c>
      <c r="C7" s="548" t="s">
        <v>422</v>
      </c>
      <c r="D7" s="504" t="s">
        <v>26</v>
      </c>
      <c r="E7" s="504" t="s">
        <v>27</v>
      </c>
      <c r="F7" s="504">
        <v>40</v>
      </c>
      <c r="G7" s="504">
        <v>20</v>
      </c>
      <c r="H7" s="504">
        <v>40</v>
      </c>
      <c r="I7" s="504">
        <v>20</v>
      </c>
      <c r="J7" s="504">
        <v>1</v>
      </c>
      <c r="K7" s="504">
        <f t="shared" si="0"/>
        <v>800</v>
      </c>
      <c r="L7" s="504" t="s">
        <v>28</v>
      </c>
      <c r="M7" s="509" t="s">
        <v>309</v>
      </c>
      <c r="N7" s="510" t="s">
        <v>548</v>
      </c>
      <c r="O7" s="504">
        <v>79.002660000000006</v>
      </c>
      <c r="P7" s="506">
        <v>35000</v>
      </c>
      <c r="Q7" s="505">
        <v>40000</v>
      </c>
      <c r="R7" s="505">
        <v>80000</v>
      </c>
      <c r="S7" s="501"/>
      <c r="T7" s="501" t="s">
        <v>776</v>
      </c>
      <c r="U7" s="501" t="s">
        <v>777</v>
      </c>
      <c r="V7" s="501"/>
      <c r="W7" s="501"/>
      <c r="X7" s="501"/>
      <c r="Y7" s="501"/>
      <c r="Z7" s="501"/>
      <c r="AA7" s="501"/>
      <c r="AB7" s="501"/>
      <c r="AC7" s="501"/>
      <c r="AD7" s="501"/>
      <c r="AE7" s="501"/>
      <c r="AF7" s="501"/>
      <c r="AG7" s="501"/>
      <c r="AH7" s="501"/>
      <c r="AI7" s="501"/>
      <c r="AJ7" s="501"/>
      <c r="AK7" s="501"/>
      <c r="AL7" s="501"/>
      <c r="AM7" s="501"/>
      <c r="AN7" s="501"/>
      <c r="AO7" s="501"/>
      <c r="AP7" s="501"/>
      <c r="AQ7" s="501"/>
      <c r="AR7" s="501"/>
      <c r="AS7" s="501"/>
      <c r="AT7" s="501"/>
      <c r="AU7" s="501"/>
      <c r="AV7" s="501"/>
      <c r="AW7" s="501"/>
      <c r="AX7" s="501"/>
      <c r="AY7" s="501"/>
      <c r="AZ7" s="501"/>
      <c r="BA7" s="501"/>
      <c r="BB7" s="501"/>
      <c r="BC7" s="501"/>
      <c r="BD7" s="501"/>
      <c r="BE7" s="501"/>
      <c r="BF7" s="501"/>
      <c r="BG7" s="501"/>
      <c r="BH7" s="501"/>
      <c r="BI7" s="501"/>
      <c r="BJ7" s="501"/>
      <c r="BK7" s="501"/>
      <c r="BL7" s="501"/>
      <c r="BM7" s="501"/>
      <c r="BN7" s="501"/>
      <c r="BO7" s="501"/>
      <c r="BP7" s="501"/>
      <c r="BQ7" s="501"/>
      <c r="BR7" s="501"/>
      <c r="BS7" s="501"/>
      <c r="BT7" s="501"/>
      <c r="BU7" s="501"/>
      <c r="BV7" s="501"/>
      <c r="BW7" s="501"/>
      <c r="BX7" s="501"/>
      <c r="BY7" s="501"/>
      <c r="BZ7" s="501"/>
      <c r="CA7" s="501"/>
      <c r="CB7" s="501"/>
      <c r="CC7" s="501"/>
      <c r="CD7" s="501"/>
      <c r="CE7" s="501"/>
      <c r="CF7" s="501"/>
      <c r="CG7" s="501"/>
      <c r="CH7" s="501"/>
      <c r="CI7" s="501"/>
      <c r="CJ7" s="501"/>
      <c r="CK7" s="501"/>
      <c r="CL7" s="501"/>
      <c r="CM7" s="501"/>
      <c r="CN7" s="501"/>
      <c r="CO7" s="501"/>
      <c r="CP7" s="501"/>
      <c r="CQ7" s="501"/>
      <c r="CR7" s="501"/>
      <c r="CS7" s="501"/>
      <c r="CT7" s="501"/>
      <c r="CU7" s="501"/>
      <c r="CV7" s="501"/>
      <c r="CW7" s="501"/>
      <c r="CX7" s="501"/>
      <c r="CY7" s="501"/>
      <c r="CZ7" s="501"/>
      <c r="DA7" s="501"/>
      <c r="DB7" s="501"/>
      <c r="DC7" s="501"/>
      <c r="DD7" s="501"/>
      <c r="DE7" s="501"/>
      <c r="DF7" s="501"/>
      <c r="DG7" s="501"/>
      <c r="DH7" s="501"/>
      <c r="DI7" s="501"/>
      <c r="DJ7" s="501"/>
      <c r="DK7" s="501"/>
      <c r="DL7" s="501"/>
      <c r="DM7" s="501"/>
      <c r="DN7" s="501"/>
      <c r="DO7" s="501"/>
      <c r="DP7" s="501"/>
      <c r="DQ7" s="501"/>
      <c r="DR7" s="501"/>
      <c r="DS7" s="501"/>
      <c r="DT7" s="501"/>
      <c r="DU7" s="501"/>
      <c r="DV7" s="501"/>
      <c r="DW7" s="501"/>
      <c r="DX7" s="501"/>
      <c r="DY7" s="501"/>
      <c r="DZ7" s="501"/>
      <c r="EA7" s="501"/>
      <c r="EB7" s="501"/>
      <c r="EC7" s="501"/>
      <c r="ED7" s="501"/>
      <c r="EE7" s="501"/>
      <c r="EF7" s="501"/>
      <c r="EG7" s="501"/>
      <c r="EH7" s="501"/>
      <c r="EI7" s="501"/>
      <c r="EJ7" s="501"/>
      <c r="EK7" s="501"/>
      <c r="EL7" s="501"/>
      <c r="EM7" s="501"/>
      <c r="EN7" s="501"/>
      <c r="EO7" s="501"/>
      <c r="EP7" s="501"/>
      <c r="EQ7" s="501"/>
      <c r="ER7" s="501"/>
      <c r="ES7" s="501"/>
      <c r="ET7" s="501"/>
      <c r="EU7" s="501"/>
      <c r="EV7" s="501"/>
      <c r="EW7" s="501"/>
      <c r="EX7" s="501"/>
      <c r="EY7" s="501"/>
      <c r="EZ7" s="501"/>
      <c r="FA7" s="501"/>
      <c r="FB7" s="501"/>
      <c r="FC7" s="501"/>
      <c r="FD7" s="501"/>
      <c r="FE7" s="501"/>
      <c r="FF7" s="501"/>
      <c r="FG7" s="501"/>
      <c r="FH7" s="501"/>
      <c r="FI7" s="501"/>
      <c r="FJ7" s="501"/>
      <c r="FK7" s="501"/>
      <c r="FL7" s="501"/>
      <c r="FM7" s="501"/>
      <c r="FN7" s="501"/>
      <c r="FO7" s="501"/>
      <c r="FP7" s="501"/>
      <c r="FQ7" s="501"/>
      <c r="FR7" s="501"/>
      <c r="FS7" s="501"/>
      <c r="FT7" s="501"/>
      <c r="FU7" s="501"/>
      <c r="FV7" s="501"/>
      <c r="FW7" s="501"/>
      <c r="FX7" s="501"/>
      <c r="FY7" s="501"/>
      <c r="FZ7" s="501"/>
      <c r="GA7" s="501"/>
      <c r="GB7" s="501"/>
      <c r="GC7" s="501"/>
      <c r="GD7" s="501"/>
      <c r="GE7" s="501"/>
      <c r="GF7" s="501"/>
      <c r="GG7" s="501"/>
      <c r="GH7" s="501"/>
      <c r="GI7" s="501"/>
      <c r="GJ7" s="501"/>
      <c r="GK7" s="501"/>
      <c r="GL7" s="501"/>
      <c r="GM7" s="501"/>
      <c r="GN7" s="501"/>
      <c r="GO7" s="501"/>
      <c r="GP7" s="501"/>
      <c r="GQ7" s="501"/>
      <c r="GR7" s="501"/>
      <c r="GS7" s="501"/>
      <c r="GT7" s="501"/>
      <c r="GU7" s="501"/>
      <c r="GV7" s="501"/>
      <c r="GW7" s="501"/>
      <c r="GX7" s="501"/>
      <c r="GY7" s="501"/>
      <c r="GZ7" s="501"/>
      <c r="HA7" s="501"/>
      <c r="HB7" s="501"/>
      <c r="HC7" s="501"/>
      <c r="HD7" s="501"/>
      <c r="HE7" s="501"/>
      <c r="HF7" s="501"/>
      <c r="HG7" s="501"/>
      <c r="HH7" s="501"/>
      <c r="HI7" s="501"/>
      <c r="HJ7" s="501"/>
      <c r="HK7" s="501"/>
      <c r="HL7" s="501"/>
      <c r="HM7" s="501"/>
      <c r="HN7" s="501"/>
      <c r="HO7" s="501"/>
      <c r="HP7" s="501"/>
      <c r="HQ7" s="501"/>
      <c r="HR7" s="501"/>
      <c r="HS7" s="501"/>
      <c r="HT7" s="501"/>
      <c r="HU7" s="501"/>
      <c r="HV7" s="501"/>
      <c r="HW7" s="501"/>
      <c r="HX7" s="501"/>
      <c r="HY7" s="501"/>
      <c r="HZ7" s="501"/>
      <c r="IA7" s="501"/>
      <c r="IB7" s="501"/>
      <c r="IC7" s="501"/>
      <c r="ID7" s="501"/>
      <c r="IE7" s="501"/>
      <c r="IF7" s="501"/>
      <c r="IG7" s="501"/>
      <c r="IH7" s="501"/>
      <c r="II7" s="501"/>
      <c r="IJ7" s="501"/>
      <c r="IK7" s="501"/>
      <c r="IL7" s="501"/>
      <c r="IM7" s="501"/>
      <c r="IN7" s="501"/>
      <c r="IO7" s="501"/>
      <c r="IP7" s="501"/>
      <c r="IQ7" s="501"/>
      <c r="IR7" s="501"/>
      <c r="IS7" s="501"/>
      <c r="IT7" s="501"/>
      <c r="IU7" s="501"/>
      <c r="IV7" s="501"/>
      <c r="IW7" s="501"/>
      <c r="IX7" s="501"/>
      <c r="IY7" s="501"/>
      <c r="IZ7" s="501"/>
      <c r="JA7" s="501"/>
      <c r="JB7" s="501"/>
      <c r="JC7" s="501"/>
      <c r="JD7" s="501"/>
      <c r="JE7" s="501"/>
      <c r="JF7" s="501"/>
      <c r="JG7" s="501"/>
      <c r="JH7" s="501"/>
      <c r="JI7" s="501"/>
      <c r="JJ7" s="501"/>
      <c r="JK7" s="501"/>
      <c r="JL7" s="501"/>
      <c r="JM7" s="501"/>
      <c r="JN7" s="501"/>
      <c r="JO7" s="501"/>
      <c r="JP7" s="501"/>
      <c r="JQ7" s="501"/>
      <c r="JR7" s="501"/>
      <c r="JS7" s="501"/>
      <c r="JT7" s="501"/>
      <c r="JU7" s="501"/>
      <c r="JV7" s="501"/>
      <c r="JW7" s="501"/>
      <c r="JX7" s="501"/>
      <c r="JY7" s="501"/>
      <c r="JZ7" s="501"/>
      <c r="KA7" s="501"/>
      <c r="KB7" s="501"/>
      <c r="KC7" s="501"/>
      <c r="KD7" s="501"/>
      <c r="KE7" s="501"/>
      <c r="KF7" s="501"/>
      <c r="KG7" s="501"/>
      <c r="KH7" s="501"/>
      <c r="KI7" s="501"/>
      <c r="KJ7" s="501"/>
      <c r="KK7" s="501"/>
      <c r="KL7" s="501"/>
      <c r="KM7" s="501"/>
      <c r="KN7" s="501"/>
      <c r="KO7" s="501"/>
      <c r="KP7" s="501"/>
      <c r="KQ7" s="501"/>
      <c r="KR7" s="501"/>
      <c r="KS7" s="501"/>
      <c r="KT7" s="501"/>
      <c r="KU7" s="501"/>
      <c r="KV7" s="501"/>
      <c r="KW7" s="501"/>
      <c r="KX7" s="501"/>
      <c r="KY7" s="501"/>
      <c r="KZ7" s="501"/>
      <c r="LA7" s="501"/>
      <c r="LB7" s="501"/>
      <c r="LC7" s="501"/>
      <c r="LD7" s="501"/>
      <c r="LE7" s="501"/>
      <c r="LF7" s="501"/>
      <c r="LG7" s="501"/>
      <c r="LH7" s="501"/>
      <c r="LI7" s="501"/>
      <c r="LJ7" s="501"/>
      <c r="LK7" s="501"/>
      <c r="LL7" s="501"/>
      <c r="LM7" s="501"/>
      <c r="LN7" s="501"/>
      <c r="LO7" s="501"/>
      <c r="LP7" s="501"/>
      <c r="LQ7" s="501"/>
      <c r="LR7" s="501"/>
      <c r="LS7" s="501"/>
      <c r="LT7" s="501"/>
      <c r="LU7" s="501"/>
      <c r="LV7" s="501"/>
      <c r="LW7" s="501"/>
      <c r="LX7" s="501"/>
      <c r="LY7" s="501"/>
      <c r="LZ7" s="501"/>
      <c r="MA7" s="501"/>
      <c r="MB7" s="501"/>
      <c r="MC7" s="501"/>
      <c r="MD7" s="501"/>
      <c r="ME7" s="501"/>
      <c r="MF7" s="501"/>
      <c r="MG7" s="501"/>
      <c r="MH7" s="501"/>
      <c r="MI7" s="501"/>
      <c r="MJ7" s="501"/>
      <c r="MK7" s="501"/>
      <c r="ML7" s="501"/>
      <c r="MM7" s="501"/>
      <c r="MN7" s="501"/>
      <c r="MO7" s="501"/>
      <c r="MP7" s="501"/>
      <c r="MQ7" s="501"/>
      <c r="MR7" s="501"/>
      <c r="MS7" s="501"/>
      <c r="MT7" s="501"/>
      <c r="MU7" s="501"/>
      <c r="MV7" s="501"/>
      <c r="MW7" s="501"/>
      <c r="MX7" s="501"/>
      <c r="MY7" s="501"/>
      <c r="MZ7" s="501"/>
      <c r="NA7" s="501"/>
      <c r="NB7" s="501"/>
      <c r="NC7" s="501"/>
      <c r="ND7" s="501"/>
      <c r="NE7" s="501"/>
      <c r="NF7" s="501"/>
      <c r="NG7" s="501"/>
      <c r="NH7" s="501"/>
      <c r="NI7" s="501"/>
      <c r="NJ7" s="501"/>
      <c r="NK7" s="501"/>
      <c r="NL7" s="501"/>
      <c r="NM7" s="501"/>
      <c r="NN7" s="501"/>
      <c r="NO7" s="501"/>
      <c r="NP7" s="501"/>
      <c r="NQ7" s="501"/>
      <c r="NR7" s="501"/>
      <c r="NS7" s="501"/>
      <c r="NT7" s="501"/>
      <c r="NU7" s="501"/>
      <c r="NV7" s="501"/>
      <c r="NW7" s="501"/>
      <c r="NX7" s="501"/>
      <c r="NY7" s="501"/>
      <c r="NZ7" s="501"/>
      <c r="OA7" s="501"/>
      <c r="OB7" s="501"/>
      <c r="OC7" s="501"/>
      <c r="OD7" s="501"/>
      <c r="OE7" s="501"/>
      <c r="OF7" s="501"/>
      <c r="OG7" s="501"/>
      <c r="OH7" s="501"/>
      <c r="OI7" s="501"/>
      <c r="OJ7" s="501"/>
      <c r="OK7" s="501"/>
      <c r="OL7" s="501"/>
      <c r="OM7" s="501"/>
      <c r="ON7" s="501"/>
      <c r="OO7" s="501"/>
      <c r="OP7" s="501"/>
      <c r="OQ7" s="501"/>
      <c r="OR7" s="501"/>
      <c r="OS7" s="501"/>
      <c r="OT7" s="501"/>
      <c r="OU7" s="501"/>
      <c r="OV7" s="501"/>
      <c r="OW7" s="501"/>
      <c r="OX7" s="501"/>
      <c r="OY7" s="501"/>
      <c r="OZ7" s="501"/>
      <c r="PA7" s="501"/>
      <c r="PB7" s="501"/>
      <c r="PC7" s="501"/>
      <c r="PD7" s="501"/>
      <c r="PE7" s="501"/>
      <c r="PF7" s="501"/>
      <c r="PG7" s="501"/>
      <c r="PH7" s="501"/>
      <c r="PI7" s="501"/>
      <c r="PJ7" s="501"/>
      <c r="PK7" s="501"/>
      <c r="PL7" s="501"/>
      <c r="PM7" s="501"/>
      <c r="PN7" s="501"/>
      <c r="PO7" s="501"/>
      <c r="PP7" s="501"/>
      <c r="PQ7" s="501"/>
      <c r="PR7" s="501"/>
      <c r="PS7" s="501"/>
      <c r="PT7" s="501"/>
      <c r="PU7" s="501"/>
      <c r="PV7" s="501"/>
      <c r="PW7" s="501"/>
      <c r="PX7" s="501"/>
      <c r="PY7" s="501"/>
      <c r="PZ7" s="501"/>
      <c r="QA7" s="501"/>
      <c r="QB7" s="501"/>
      <c r="QC7" s="501"/>
      <c r="QD7" s="501"/>
      <c r="QE7" s="501"/>
      <c r="QF7" s="501"/>
      <c r="QG7" s="501"/>
      <c r="QH7" s="501"/>
      <c r="QI7" s="501"/>
      <c r="QJ7" s="501"/>
      <c r="QK7" s="501"/>
      <c r="QL7" s="501"/>
      <c r="QM7" s="501"/>
      <c r="QN7" s="501"/>
      <c r="QO7" s="501"/>
      <c r="QP7" s="501"/>
      <c r="QQ7" s="501"/>
      <c r="QR7" s="501"/>
      <c r="QS7" s="501"/>
      <c r="QT7" s="501"/>
      <c r="QU7" s="501"/>
      <c r="QV7" s="501"/>
      <c r="QW7" s="501"/>
      <c r="QX7" s="501"/>
      <c r="QY7" s="501"/>
      <c r="QZ7" s="501"/>
      <c r="RA7" s="501"/>
      <c r="RB7" s="501"/>
      <c r="RC7" s="501"/>
      <c r="RD7" s="501"/>
      <c r="RE7" s="501"/>
      <c r="RF7" s="501"/>
      <c r="RG7" s="501"/>
      <c r="RH7" s="501"/>
      <c r="RI7" s="501"/>
      <c r="RJ7" s="501"/>
      <c r="RK7" s="501"/>
      <c r="RL7" s="501"/>
      <c r="RM7" s="501"/>
      <c r="RN7" s="501"/>
      <c r="RO7" s="501"/>
      <c r="RP7" s="501"/>
      <c r="RQ7" s="501"/>
      <c r="RR7" s="501"/>
      <c r="RS7" s="501"/>
      <c r="RT7" s="501"/>
      <c r="RU7" s="501"/>
      <c r="RV7" s="501"/>
      <c r="RW7" s="501"/>
      <c r="RX7" s="501"/>
      <c r="RY7" s="501"/>
      <c r="RZ7" s="501"/>
      <c r="SA7" s="501"/>
      <c r="SB7" s="501"/>
      <c r="SC7" s="501"/>
      <c r="SD7" s="501"/>
      <c r="SE7" s="501"/>
      <c r="SF7" s="501"/>
      <c r="SG7" s="501"/>
      <c r="SH7" s="501"/>
      <c r="SI7" s="501"/>
      <c r="SJ7" s="501"/>
      <c r="SK7" s="501"/>
      <c r="SL7" s="501"/>
      <c r="SM7" s="501"/>
      <c r="SN7" s="501"/>
      <c r="SO7" s="501"/>
      <c r="SP7" s="501"/>
      <c r="SQ7" s="501"/>
      <c r="SR7" s="501"/>
      <c r="SS7" s="501"/>
      <c r="ST7" s="501"/>
      <c r="SU7" s="501"/>
      <c r="SV7" s="501"/>
      <c r="SW7" s="501"/>
      <c r="SX7" s="501"/>
      <c r="SY7" s="501"/>
      <c r="SZ7" s="501"/>
      <c r="TA7" s="501"/>
      <c r="TB7" s="501"/>
      <c r="TC7" s="501"/>
      <c r="TD7" s="501"/>
      <c r="TE7" s="501"/>
      <c r="TF7" s="501"/>
      <c r="TG7" s="501"/>
      <c r="TH7" s="501"/>
      <c r="TI7" s="501"/>
      <c r="TJ7" s="501"/>
      <c r="TK7" s="501"/>
      <c r="TL7" s="501"/>
      <c r="TM7" s="501"/>
      <c r="TN7" s="501"/>
      <c r="TO7" s="501"/>
      <c r="TP7" s="501"/>
      <c r="TQ7" s="501"/>
      <c r="TR7" s="501"/>
      <c r="TS7" s="501"/>
      <c r="TT7" s="501"/>
      <c r="TU7" s="501"/>
      <c r="TV7" s="501"/>
      <c r="TW7" s="501"/>
      <c r="TX7" s="501"/>
      <c r="TY7" s="501"/>
      <c r="TZ7" s="501"/>
      <c r="UA7" s="501"/>
      <c r="UB7" s="501"/>
      <c r="UC7" s="501"/>
      <c r="UD7" s="501"/>
      <c r="UE7" s="501"/>
      <c r="UF7" s="501"/>
      <c r="UG7" s="501"/>
      <c r="UH7" s="501"/>
      <c r="UI7" s="501"/>
      <c r="UJ7" s="501"/>
      <c r="UK7" s="501"/>
      <c r="UL7" s="501"/>
      <c r="UM7" s="501"/>
      <c r="UN7" s="501"/>
      <c r="UO7" s="501"/>
      <c r="UP7" s="501"/>
      <c r="UQ7" s="501"/>
      <c r="UR7" s="501"/>
      <c r="US7" s="501"/>
      <c r="UT7" s="501"/>
      <c r="UU7" s="501"/>
      <c r="UV7" s="501"/>
      <c r="UW7" s="501"/>
      <c r="UX7" s="501"/>
      <c r="UY7" s="501"/>
      <c r="UZ7" s="501"/>
      <c r="VA7" s="501"/>
      <c r="VB7" s="501"/>
      <c r="VC7" s="501"/>
      <c r="VD7" s="501"/>
      <c r="VE7" s="501"/>
      <c r="VF7" s="501"/>
      <c r="VG7" s="501"/>
      <c r="VH7" s="501"/>
      <c r="VI7" s="501"/>
      <c r="VJ7" s="501"/>
      <c r="VK7" s="501"/>
      <c r="VL7" s="501"/>
      <c r="VM7" s="501"/>
      <c r="VN7" s="501"/>
      <c r="VO7" s="501"/>
      <c r="VP7" s="501"/>
      <c r="VQ7" s="501"/>
      <c r="VR7" s="501"/>
      <c r="VS7" s="501"/>
      <c r="VT7" s="501"/>
      <c r="VU7" s="501"/>
      <c r="VV7" s="501"/>
      <c r="VW7" s="501"/>
      <c r="VX7" s="501"/>
      <c r="VY7" s="501"/>
      <c r="VZ7" s="501"/>
      <c r="WA7" s="501"/>
      <c r="WB7" s="501"/>
      <c r="WC7" s="501"/>
      <c r="WD7" s="501"/>
      <c r="WE7" s="501"/>
      <c r="WF7" s="501"/>
      <c r="WG7" s="501"/>
      <c r="WH7" s="501"/>
      <c r="WI7" s="501"/>
      <c r="WJ7" s="501"/>
      <c r="WK7" s="501"/>
      <c r="WL7" s="501"/>
      <c r="WM7" s="501"/>
      <c r="WN7" s="501"/>
      <c r="WO7" s="501"/>
      <c r="WP7" s="501"/>
      <c r="WQ7" s="501"/>
      <c r="WR7" s="501"/>
      <c r="WS7" s="501"/>
      <c r="WT7" s="501"/>
      <c r="WU7" s="501"/>
      <c r="WV7" s="501"/>
      <c r="WW7" s="501"/>
      <c r="WX7" s="501"/>
      <c r="WY7" s="501"/>
      <c r="WZ7" s="501"/>
      <c r="XA7" s="501"/>
      <c r="XB7" s="501"/>
      <c r="XC7" s="501"/>
      <c r="XD7" s="501"/>
      <c r="XE7" s="501"/>
      <c r="XF7" s="501"/>
      <c r="XG7" s="501"/>
      <c r="XH7" s="501"/>
      <c r="XI7" s="501"/>
      <c r="XJ7" s="501"/>
      <c r="XK7" s="501"/>
      <c r="XL7" s="501"/>
      <c r="XM7" s="501"/>
      <c r="XN7" s="501"/>
      <c r="XO7" s="501"/>
      <c r="XP7" s="501"/>
      <c r="XQ7" s="501"/>
      <c r="XR7" s="501"/>
      <c r="XS7" s="501"/>
      <c r="XT7" s="501"/>
      <c r="XU7" s="501"/>
      <c r="XV7" s="501"/>
      <c r="XW7" s="501"/>
      <c r="XX7" s="501"/>
      <c r="XY7" s="501"/>
      <c r="XZ7" s="501"/>
      <c r="YA7" s="501"/>
      <c r="YB7" s="501"/>
      <c r="YC7" s="501"/>
      <c r="YD7" s="501"/>
      <c r="YE7" s="501"/>
      <c r="YF7" s="501"/>
      <c r="YG7" s="501"/>
      <c r="YH7" s="501"/>
      <c r="YI7" s="501"/>
      <c r="YJ7" s="501"/>
      <c r="YK7" s="501"/>
      <c r="YL7" s="501"/>
      <c r="YM7" s="501"/>
      <c r="YN7" s="501"/>
      <c r="YO7" s="501"/>
      <c r="YP7" s="501"/>
      <c r="YQ7" s="501"/>
      <c r="YR7" s="501"/>
      <c r="YS7" s="501"/>
      <c r="YT7" s="501"/>
      <c r="YU7" s="501"/>
      <c r="YV7" s="501"/>
      <c r="YW7" s="501"/>
      <c r="YX7" s="501"/>
      <c r="YY7" s="501"/>
      <c r="YZ7" s="501"/>
      <c r="ZA7" s="501"/>
      <c r="ZB7" s="501"/>
      <c r="ZC7" s="501"/>
      <c r="ZD7" s="501"/>
      <c r="ZE7" s="501"/>
      <c r="ZF7" s="501"/>
      <c r="ZG7" s="501"/>
      <c r="ZH7" s="501"/>
      <c r="ZI7" s="501"/>
      <c r="ZJ7" s="501"/>
      <c r="ZK7" s="501"/>
      <c r="ZL7" s="501"/>
      <c r="ZM7" s="501"/>
      <c r="ZN7" s="501"/>
      <c r="ZO7" s="501"/>
      <c r="ZP7" s="501"/>
      <c r="ZQ7" s="501"/>
      <c r="ZR7" s="501"/>
      <c r="ZS7" s="501"/>
      <c r="ZT7" s="501"/>
      <c r="ZU7" s="501"/>
      <c r="ZV7" s="501"/>
      <c r="ZW7" s="501"/>
      <c r="ZX7" s="501"/>
      <c r="ZY7" s="501"/>
      <c r="ZZ7" s="501"/>
      <c r="AAA7" s="501"/>
      <c r="AAB7" s="501"/>
      <c r="AAC7" s="501"/>
      <c r="AAD7" s="501"/>
      <c r="AAE7" s="501"/>
      <c r="AAF7" s="501"/>
      <c r="AAG7" s="501"/>
      <c r="AAH7" s="501"/>
      <c r="AAI7" s="501"/>
      <c r="AAJ7" s="501"/>
      <c r="AAK7" s="501"/>
      <c r="AAL7" s="501"/>
      <c r="AAM7" s="501"/>
      <c r="AAN7" s="501"/>
      <c r="AAO7" s="501"/>
      <c r="AAP7" s="501"/>
      <c r="AAQ7" s="501"/>
      <c r="AAR7" s="501"/>
      <c r="AAS7" s="501"/>
      <c r="AAT7" s="501"/>
      <c r="AAU7" s="501"/>
      <c r="AAV7" s="501"/>
      <c r="AAW7" s="501"/>
      <c r="AAX7" s="501"/>
      <c r="AAY7" s="501"/>
      <c r="AAZ7" s="501"/>
      <c r="ABA7" s="501"/>
      <c r="ABB7" s="501"/>
      <c r="ABC7" s="501"/>
      <c r="ABD7" s="501"/>
      <c r="ABE7" s="501"/>
      <c r="ABF7" s="501"/>
      <c r="ABG7" s="501"/>
      <c r="ABH7" s="501"/>
      <c r="ABI7" s="501"/>
      <c r="ABJ7" s="501"/>
      <c r="ABK7" s="501"/>
      <c r="ABL7" s="501"/>
      <c r="ABM7" s="501"/>
      <c r="ABN7" s="501"/>
      <c r="ABO7" s="501"/>
      <c r="ABP7" s="501"/>
      <c r="ABQ7" s="501"/>
      <c r="ABR7" s="501"/>
      <c r="ABS7" s="501"/>
      <c r="ABT7" s="501"/>
      <c r="ABU7" s="501"/>
      <c r="ABV7" s="501"/>
      <c r="ABW7" s="501"/>
      <c r="ABX7" s="501"/>
      <c r="ABY7" s="501"/>
      <c r="ABZ7" s="501"/>
      <c r="ACA7" s="501"/>
      <c r="ACB7" s="501"/>
      <c r="ACC7" s="501"/>
      <c r="ACD7" s="501"/>
      <c r="ACE7" s="501"/>
      <c r="ACF7" s="501"/>
      <c r="ACG7" s="501"/>
      <c r="ACH7" s="501"/>
      <c r="ACI7" s="501"/>
      <c r="ACJ7" s="501"/>
      <c r="ACK7" s="501"/>
      <c r="ACL7" s="501"/>
      <c r="ACM7" s="501"/>
      <c r="ACN7" s="501"/>
      <c r="ACO7" s="501"/>
      <c r="ACP7" s="501"/>
      <c r="ACQ7" s="501"/>
      <c r="ACR7" s="501"/>
      <c r="ACS7" s="501"/>
      <c r="ACT7" s="501"/>
      <c r="ACU7" s="501"/>
      <c r="ACV7" s="501"/>
      <c r="ACW7" s="501"/>
      <c r="ACX7" s="501"/>
      <c r="ACY7" s="501"/>
      <c r="ACZ7" s="501"/>
      <c r="ADA7" s="501"/>
      <c r="ADB7" s="501"/>
      <c r="ADC7" s="501"/>
      <c r="ADD7" s="501"/>
      <c r="ADE7" s="501"/>
      <c r="ADF7" s="501"/>
      <c r="ADG7" s="501"/>
      <c r="ADH7" s="501"/>
      <c r="ADI7" s="501"/>
      <c r="ADJ7" s="501"/>
      <c r="ADK7" s="501"/>
      <c r="ADL7" s="501"/>
      <c r="ADM7" s="501"/>
      <c r="ADN7" s="501"/>
      <c r="ADO7" s="501"/>
      <c r="ADP7" s="501"/>
      <c r="ADQ7" s="501"/>
      <c r="ADR7" s="501"/>
      <c r="ADS7" s="501"/>
      <c r="ADT7" s="501"/>
      <c r="ADU7" s="501"/>
      <c r="ADV7" s="501"/>
      <c r="ADW7" s="501"/>
      <c r="ADX7" s="501"/>
      <c r="ADY7" s="501"/>
      <c r="ADZ7" s="501"/>
      <c r="AEA7" s="501"/>
      <c r="AEB7" s="501"/>
      <c r="AEC7" s="501"/>
      <c r="AED7" s="501"/>
      <c r="AEE7" s="501"/>
      <c r="AEF7" s="501"/>
      <c r="AEG7" s="501"/>
      <c r="AEH7" s="501"/>
      <c r="AEI7" s="501"/>
      <c r="AEJ7" s="501"/>
      <c r="AEK7" s="501"/>
      <c r="AEL7" s="501"/>
      <c r="AEM7" s="501"/>
      <c r="AEN7" s="501"/>
      <c r="AEO7" s="501"/>
      <c r="AEP7" s="501"/>
      <c r="AEQ7" s="501"/>
      <c r="AER7" s="501"/>
      <c r="AES7" s="501"/>
      <c r="AET7" s="501"/>
      <c r="AEU7" s="501"/>
      <c r="AEV7" s="501"/>
      <c r="AEW7" s="501"/>
      <c r="AEX7" s="501"/>
      <c r="AEY7" s="501"/>
      <c r="AEZ7" s="501"/>
      <c r="AFA7" s="501"/>
      <c r="AFB7" s="501"/>
      <c r="AFC7" s="501"/>
      <c r="AFD7" s="501"/>
      <c r="AFE7" s="501"/>
      <c r="AFF7" s="501"/>
      <c r="AFG7" s="501"/>
      <c r="AFH7" s="501"/>
      <c r="AFI7" s="501"/>
      <c r="AFJ7" s="501"/>
      <c r="AFK7" s="501"/>
      <c r="AFL7" s="501"/>
      <c r="AFM7" s="501"/>
      <c r="AFN7" s="501"/>
      <c r="AFO7" s="501"/>
      <c r="AFP7" s="501"/>
      <c r="AFQ7" s="501"/>
      <c r="AFR7" s="501"/>
      <c r="AFS7" s="501"/>
      <c r="AFT7" s="501"/>
      <c r="AFU7" s="501"/>
      <c r="AFV7" s="501"/>
      <c r="AFW7" s="501"/>
      <c r="AFX7" s="501"/>
      <c r="AFY7" s="501"/>
      <c r="AFZ7" s="501"/>
      <c r="AGA7" s="501"/>
      <c r="AGB7" s="501"/>
      <c r="AGC7" s="501"/>
      <c r="AGD7" s="501"/>
      <c r="AGE7" s="501"/>
      <c r="AGF7" s="501"/>
      <c r="AGG7" s="501"/>
      <c r="AGH7" s="501"/>
      <c r="AGI7" s="501"/>
      <c r="AGJ7" s="501"/>
      <c r="AGK7" s="501"/>
      <c r="AGL7" s="501"/>
      <c r="AGM7" s="501"/>
      <c r="AGN7" s="501"/>
      <c r="AGO7" s="501"/>
      <c r="AGP7" s="501"/>
      <c r="AGQ7" s="501"/>
      <c r="AGR7" s="501"/>
      <c r="AGS7" s="501"/>
      <c r="AGT7" s="501"/>
      <c r="AGU7" s="501"/>
      <c r="AGV7" s="501"/>
      <c r="AGW7" s="501"/>
      <c r="AGX7" s="501"/>
      <c r="AGY7" s="501"/>
      <c r="AGZ7" s="501"/>
      <c r="AHA7" s="501"/>
      <c r="AHB7" s="501"/>
      <c r="AHC7" s="501"/>
      <c r="AHD7" s="501"/>
      <c r="AHE7" s="501"/>
      <c r="AHF7" s="501"/>
      <c r="AHG7" s="501"/>
      <c r="AHH7" s="501"/>
      <c r="AHI7" s="501"/>
      <c r="AHJ7" s="501"/>
      <c r="AHK7" s="501"/>
      <c r="AHL7" s="501"/>
      <c r="AHM7" s="501"/>
      <c r="AHN7" s="501"/>
      <c r="AHO7" s="501"/>
      <c r="AHP7" s="501"/>
      <c r="AHQ7" s="501"/>
      <c r="AHR7" s="501"/>
      <c r="AHS7" s="501"/>
      <c r="AHT7" s="501"/>
      <c r="AHU7" s="501"/>
      <c r="AHV7" s="501"/>
      <c r="AHW7" s="501"/>
      <c r="AHX7" s="501"/>
      <c r="AHY7" s="501"/>
      <c r="AHZ7" s="501"/>
      <c r="AIA7" s="501"/>
      <c r="AIB7" s="501"/>
      <c r="AIC7" s="501"/>
      <c r="AID7" s="501"/>
      <c r="AIE7" s="501"/>
      <c r="AIF7" s="501"/>
      <c r="AIG7" s="501"/>
      <c r="AIH7" s="501"/>
      <c r="AII7" s="501"/>
      <c r="AIJ7" s="501"/>
      <c r="AIK7" s="501"/>
      <c r="AIL7" s="501"/>
      <c r="AIM7" s="501"/>
      <c r="AIN7" s="501"/>
      <c r="AIO7" s="501"/>
      <c r="AIP7" s="501"/>
      <c r="AIQ7" s="501"/>
      <c r="AIR7" s="501"/>
      <c r="AIS7" s="501"/>
      <c r="AIT7" s="501"/>
      <c r="AIU7" s="501"/>
      <c r="AIV7" s="501"/>
      <c r="AIW7" s="501"/>
      <c r="AIX7" s="501"/>
      <c r="AIY7" s="501"/>
      <c r="AIZ7" s="501"/>
      <c r="AJA7" s="501"/>
      <c r="AJB7" s="501"/>
      <c r="AJC7" s="501"/>
      <c r="AJD7" s="501"/>
      <c r="AJE7" s="501"/>
      <c r="AJF7" s="501"/>
      <c r="AJG7" s="501"/>
      <c r="AJH7" s="501"/>
      <c r="AJI7" s="501"/>
      <c r="AJJ7" s="501"/>
      <c r="AJK7" s="501"/>
      <c r="AJL7" s="501"/>
      <c r="AJM7" s="501"/>
      <c r="AJN7" s="501"/>
      <c r="AJO7" s="501"/>
      <c r="AJP7" s="501"/>
      <c r="AJQ7" s="501"/>
      <c r="AJR7" s="501"/>
      <c r="AJS7" s="501"/>
      <c r="AJT7" s="501"/>
      <c r="AJU7" s="501"/>
      <c r="AJV7" s="501"/>
      <c r="AJW7" s="501"/>
      <c r="AJX7" s="501"/>
      <c r="AJY7" s="501"/>
      <c r="AJZ7" s="501"/>
      <c r="AKA7" s="501"/>
      <c r="AKB7" s="501"/>
      <c r="AKC7" s="501"/>
      <c r="AKD7" s="501"/>
      <c r="AKE7" s="501"/>
      <c r="AKF7" s="501"/>
      <c r="AKG7" s="501"/>
      <c r="AKH7" s="501"/>
      <c r="AKI7" s="501"/>
      <c r="AKJ7" s="501"/>
      <c r="AKK7" s="501"/>
      <c r="AKL7" s="501"/>
      <c r="AKM7" s="501"/>
      <c r="AKN7" s="501"/>
      <c r="AKO7" s="501"/>
      <c r="AKP7" s="501"/>
      <c r="AKQ7" s="501"/>
      <c r="AKR7" s="501"/>
      <c r="AKS7" s="501"/>
      <c r="AKT7" s="501"/>
      <c r="AKU7" s="501"/>
      <c r="AKV7" s="501"/>
      <c r="AKW7" s="501"/>
      <c r="AKX7" s="501"/>
      <c r="AKY7" s="501"/>
      <c r="AKZ7" s="501"/>
      <c r="ALA7" s="501"/>
      <c r="ALB7" s="501"/>
      <c r="ALC7" s="501"/>
      <c r="ALD7" s="501"/>
      <c r="ALE7" s="501"/>
      <c r="ALF7" s="501"/>
      <c r="ALG7" s="501"/>
      <c r="ALH7" s="501"/>
      <c r="ALI7" s="501"/>
      <c r="ALJ7" s="501"/>
      <c r="ALK7" s="501"/>
      <c r="ALL7" s="501"/>
      <c r="ALM7" s="501"/>
      <c r="ALN7" s="501"/>
      <c r="ALO7" s="501"/>
      <c r="ALP7" s="501"/>
      <c r="ALQ7" s="501"/>
      <c r="ALR7" s="501"/>
      <c r="ALS7" s="501"/>
      <c r="ALT7" s="501"/>
      <c r="ALU7" s="501"/>
      <c r="ALV7" s="501"/>
      <c r="ALW7" s="501"/>
      <c r="ALX7" s="501"/>
      <c r="ALY7" s="501"/>
      <c r="ALZ7" s="501"/>
      <c r="AMA7" s="501"/>
      <c r="AMB7" s="501"/>
      <c r="AMC7" s="501"/>
      <c r="AMD7" s="501"/>
      <c r="AME7" s="501"/>
      <c r="AMF7" s="501"/>
      <c r="AMG7" s="501"/>
      <c r="AMH7" s="501"/>
      <c r="AMI7" s="501"/>
      <c r="AMJ7" s="501"/>
      <c r="AMK7" s="501"/>
      <c r="AML7" s="501"/>
      <c r="AMM7" s="501"/>
      <c r="AMN7" s="501"/>
      <c r="AMO7" s="501"/>
      <c r="AMP7" s="501"/>
      <c r="AMQ7" s="501"/>
      <c r="AMR7" s="501"/>
      <c r="AMS7" s="501"/>
      <c r="AMT7" s="501"/>
      <c r="AMU7" s="501"/>
      <c r="AMV7" s="501"/>
      <c r="AMW7" s="501"/>
      <c r="AMX7" s="501"/>
      <c r="AMY7" s="501"/>
      <c r="AMZ7" s="501"/>
      <c r="ANA7" s="501"/>
      <c r="ANB7" s="501"/>
      <c r="ANC7" s="501"/>
      <c r="AND7" s="501"/>
      <c r="ANE7" s="501"/>
      <c r="ANF7" s="501"/>
      <c r="ANG7" s="501"/>
      <c r="ANH7" s="501"/>
      <c r="ANI7" s="501"/>
      <c r="ANJ7" s="501"/>
      <c r="ANK7" s="501"/>
      <c r="ANL7" s="501"/>
      <c r="ANM7" s="501"/>
      <c r="ANN7" s="501"/>
      <c r="ANO7" s="501"/>
      <c r="ANP7" s="501"/>
      <c r="ANQ7" s="501"/>
      <c r="ANR7" s="501"/>
      <c r="ANS7" s="501"/>
      <c r="ANT7" s="501"/>
      <c r="ANU7" s="501"/>
      <c r="ANV7" s="501"/>
      <c r="ANW7" s="501"/>
      <c r="ANX7" s="501"/>
      <c r="ANY7" s="501"/>
      <c r="ANZ7" s="501"/>
      <c r="AOA7" s="501"/>
      <c r="AOB7" s="501"/>
      <c r="AOC7" s="501"/>
      <c r="AOD7" s="501"/>
      <c r="AOE7" s="501"/>
      <c r="AOF7" s="501"/>
      <c r="AOG7" s="501"/>
      <c r="AOH7" s="501"/>
      <c r="AOI7" s="501"/>
      <c r="AOJ7" s="501"/>
      <c r="AOK7" s="501"/>
      <c r="AOL7" s="501"/>
      <c r="AOM7" s="501"/>
      <c r="AON7" s="501"/>
      <c r="AOO7" s="501"/>
      <c r="AOP7" s="501"/>
      <c r="AOQ7" s="501"/>
      <c r="AOR7" s="501"/>
      <c r="AOS7" s="501"/>
      <c r="AOT7" s="501"/>
      <c r="AOU7" s="501"/>
      <c r="AOV7" s="501"/>
      <c r="AOW7" s="501"/>
      <c r="AOX7" s="501"/>
      <c r="AOY7" s="501"/>
      <c r="AOZ7" s="501"/>
      <c r="APA7" s="501"/>
      <c r="APB7" s="501"/>
      <c r="APC7" s="501"/>
      <c r="APD7" s="501"/>
      <c r="APE7" s="501"/>
      <c r="APF7" s="501"/>
      <c r="APG7" s="501"/>
      <c r="APH7" s="501"/>
      <c r="API7" s="501"/>
      <c r="APJ7" s="501"/>
      <c r="APK7" s="501"/>
      <c r="APL7" s="501"/>
      <c r="APM7" s="501"/>
      <c r="APN7" s="501"/>
      <c r="APO7" s="501"/>
      <c r="APP7" s="501"/>
      <c r="APQ7" s="501"/>
      <c r="APR7" s="501"/>
      <c r="APS7" s="501"/>
      <c r="APT7" s="501"/>
      <c r="APU7" s="501"/>
      <c r="APV7" s="501"/>
      <c r="APW7" s="501"/>
      <c r="APX7" s="501"/>
      <c r="APY7" s="501"/>
      <c r="APZ7" s="501"/>
      <c r="AQA7" s="501"/>
      <c r="AQB7" s="501"/>
      <c r="AQC7" s="501"/>
      <c r="AQD7" s="501"/>
      <c r="AQE7" s="501"/>
      <c r="AQF7" s="501"/>
      <c r="AQG7" s="501"/>
      <c r="AQH7" s="501"/>
      <c r="AQI7" s="501"/>
      <c r="AQJ7" s="501"/>
      <c r="AQK7" s="501"/>
      <c r="AQL7" s="501"/>
      <c r="AQM7" s="501"/>
      <c r="AQN7" s="501"/>
      <c r="AQO7" s="501"/>
      <c r="AQP7" s="501"/>
      <c r="AQQ7" s="501"/>
      <c r="AQR7" s="501"/>
      <c r="AQS7" s="501"/>
      <c r="AQT7" s="501"/>
      <c r="AQU7" s="501"/>
      <c r="AQV7" s="501"/>
      <c r="AQW7" s="501"/>
      <c r="AQX7" s="501"/>
      <c r="AQY7" s="501"/>
      <c r="AQZ7" s="501"/>
      <c r="ARA7" s="501"/>
      <c r="ARB7" s="501"/>
      <c r="ARC7" s="501"/>
      <c r="ARD7" s="501"/>
      <c r="ARE7" s="501"/>
      <c r="ARF7" s="501"/>
      <c r="ARG7" s="501"/>
      <c r="ARH7" s="501"/>
      <c r="ARI7" s="501"/>
      <c r="ARJ7" s="501"/>
      <c r="ARK7" s="501"/>
      <c r="ARL7" s="501"/>
      <c r="ARM7" s="501"/>
      <c r="ARN7" s="501"/>
      <c r="ARO7" s="501"/>
      <c r="ARP7" s="501"/>
      <c r="ARQ7" s="501"/>
      <c r="ARR7" s="501"/>
      <c r="ARS7" s="501"/>
      <c r="ART7" s="501"/>
      <c r="ARU7" s="501"/>
      <c r="ARV7" s="501"/>
      <c r="ARW7" s="501"/>
      <c r="ARX7" s="501"/>
      <c r="ARY7" s="501"/>
      <c r="ARZ7" s="501"/>
      <c r="ASA7" s="501"/>
      <c r="ASB7" s="501"/>
      <c r="ASC7" s="501"/>
      <c r="ASD7" s="501"/>
      <c r="ASE7" s="501"/>
      <c r="ASF7" s="501"/>
      <c r="ASG7" s="501"/>
      <c r="ASH7" s="501"/>
      <c r="ASI7" s="501"/>
      <c r="ASJ7" s="501"/>
      <c r="ASK7" s="501"/>
      <c r="ASL7" s="501"/>
      <c r="ASM7" s="501"/>
      <c r="ASN7" s="501"/>
      <c r="ASO7" s="501"/>
      <c r="ASP7" s="501"/>
      <c r="ASQ7" s="501"/>
      <c r="ASR7" s="501"/>
      <c r="ASS7" s="501"/>
      <c r="AST7" s="501"/>
      <c r="ASU7" s="501"/>
      <c r="ASV7" s="501"/>
      <c r="ASW7" s="501"/>
      <c r="ASX7" s="501"/>
      <c r="ASY7" s="501"/>
      <c r="ASZ7" s="501"/>
      <c r="ATA7" s="501"/>
      <c r="ATB7" s="501"/>
      <c r="ATC7" s="501"/>
      <c r="ATD7" s="501"/>
      <c r="ATE7" s="501"/>
      <c r="ATF7" s="501"/>
      <c r="ATG7" s="501"/>
      <c r="ATH7" s="501"/>
      <c r="ATI7" s="501"/>
      <c r="ATJ7" s="501"/>
      <c r="ATK7" s="501"/>
      <c r="ATL7" s="501"/>
      <c r="ATM7" s="501"/>
      <c r="ATN7" s="501"/>
      <c r="ATO7" s="501"/>
      <c r="ATP7" s="501"/>
      <c r="ATQ7" s="501"/>
      <c r="ATR7" s="501"/>
      <c r="ATS7" s="501"/>
      <c r="ATT7" s="501"/>
      <c r="ATU7" s="501"/>
      <c r="ATV7" s="501"/>
      <c r="ATW7" s="501"/>
      <c r="ATX7" s="501"/>
      <c r="ATY7" s="501"/>
      <c r="ATZ7" s="501"/>
      <c r="AUA7" s="501"/>
      <c r="AUB7" s="501"/>
      <c r="AUC7" s="501"/>
      <c r="AUD7" s="501"/>
      <c r="AUE7" s="501"/>
      <c r="AUF7" s="501"/>
      <c r="AUG7" s="501"/>
      <c r="AUH7" s="501"/>
      <c r="AUI7" s="501"/>
      <c r="AUJ7" s="501"/>
      <c r="AUK7" s="501"/>
      <c r="AUL7" s="501"/>
      <c r="AUM7" s="501"/>
      <c r="AUN7" s="501"/>
      <c r="AUO7" s="501"/>
      <c r="AUP7" s="501"/>
      <c r="AUQ7" s="501"/>
      <c r="AUR7" s="501"/>
      <c r="AUS7" s="501"/>
      <c r="AUT7" s="501"/>
      <c r="AUU7" s="501"/>
      <c r="AUV7" s="501"/>
      <c r="AUW7" s="501"/>
      <c r="AUX7" s="501"/>
      <c r="AUY7" s="501"/>
      <c r="AUZ7" s="501"/>
      <c r="AVA7" s="501"/>
      <c r="AVB7" s="501"/>
      <c r="AVC7" s="501"/>
      <c r="AVD7" s="501"/>
      <c r="AVE7" s="501"/>
      <c r="AVF7" s="501"/>
      <c r="AVG7" s="501"/>
      <c r="AVH7" s="501"/>
      <c r="AVI7" s="501"/>
      <c r="AVJ7" s="501"/>
      <c r="AVK7" s="501"/>
      <c r="AVL7" s="501"/>
      <c r="AVM7" s="501"/>
      <c r="AVN7" s="501"/>
      <c r="AVO7" s="501"/>
      <c r="AVP7" s="501"/>
      <c r="AVQ7" s="501"/>
      <c r="AVR7" s="501"/>
      <c r="AVS7" s="501"/>
      <c r="AVT7" s="501"/>
      <c r="AVU7" s="501"/>
      <c r="AVV7" s="501"/>
      <c r="AVW7" s="501"/>
      <c r="AVX7" s="501"/>
      <c r="AVY7" s="501"/>
      <c r="AVZ7" s="501"/>
      <c r="AWA7" s="501"/>
      <c r="AWB7" s="501"/>
      <c r="AWC7" s="501"/>
      <c r="AWD7" s="501"/>
      <c r="AWE7" s="501"/>
      <c r="AWF7" s="501"/>
      <c r="AWG7" s="501"/>
      <c r="AWH7" s="501"/>
      <c r="AWI7" s="501"/>
      <c r="AWJ7" s="501"/>
      <c r="AWK7" s="501"/>
      <c r="AWL7" s="501"/>
      <c r="AWM7" s="501"/>
      <c r="AWN7" s="501"/>
      <c r="AWO7" s="501"/>
      <c r="AWP7" s="501"/>
      <c r="AWQ7" s="501"/>
      <c r="AWR7" s="501"/>
      <c r="AWS7" s="501"/>
      <c r="AWT7" s="501"/>
      <c r="AWU7" s="501"/>
      <c r="AWV7" s="501"/>
      <c r="AWW7" s="501"/>
      <c r="AWX7" s="501"/>
      <c r="AWY7" s="501"/>
      <c r="AWZ7" s="501"/>
      <c r="AXA7" s="501"/>
      <c r="AXB7" s="501"/>
      <c r="AXC7" s="501"/>
      <c r="AXD7" s="501"/>
      <c r="AXE7" s="501"/>
      <c r="AXF7" s="501"/>
      <c r="AXG7" s="501"/>
      <c r="AXH7" s="501"/>
      <c r="AXI7" s="501"/>
      <c r="AXJ7" s="501"/>
      <c r="AXK7" s="501"/>
      <c r="AXL7" s="501"/>
      <c r="AXM7" s="501"/>
      <c r="AXN7" s="501"/>
      <c r="AXO7" s="501"/>
      <c r="AXP7" s="501"/>
      <c r="AXQ7" s="501"/>
      <c r="AXR7" s="501"/>
      <c r="AXS7" s="501"/>
      <c r="AXT7" s="501"/>
      <c r="AXU7" s="501"/>
      <c r="AXV7" s="501"/>
      <c r="AXW7" s="501"/>
      <c r="AXX7" s="501"/>
      <c r="AXY7" s="501"/>
      <c r="AXZ7" s="501"/>
      <c r="AYA7" s="501"/>
      <c r="AYB7" s="501"/>
      <c r="AYC7" s="501"/>
      <c r="AYD7" s="501"/>
      <c r="AYE7" s="501"/>
      <c r="AYF7" s="501"/>
      <c r="AYG7" s="501"/>
      <c r="AYH7" s="501"/>
      <c r="AYI7" s="501"/>
      <c r="AYJ7" s="501"/>
      <c r="AYK7" s="501"/>
      <c r="AYL7" s="501"/>
      <c r="AYM7" s="501"/>
      <c r="AYN7" s="501"/>
      <c r="AYO7" s="501"/>
      <c r="AYP7" s="501"/>
      <c r="AYQ7" s="501"/>
      <c r="AYR7" s="501"/>
      <c r="AYS7" s="501"/>
      <c r="AYT7" s="501"/>
      <c r="AYU7" s="501"/>
      <c r="AYV7" s="501"/>
      <c r="AYW7" s="501"/>
      <c r="AYX7" s="501"/>
      <c r="AYY7" s="501"/>
      <c r="AYZ7" s="501"/>
      <c r="AZA7" s="501"/>
      <c r="AZB7" s="501"/>
      <c r="AZC7" s="501"/>
      <c r="AZD7" s="501"/>
      <c r="AZE7" s="501"/>
      <c r="AZF7" s="501"/>
      <c r="AZG7" s="501"/>
      <c r="AZH7" s="501"/>
      <c r="AZI7" s="501"/>
      <c r="AZJ7" s="501"/>
      <c r="AZK7" s="501"/>
      <c r="AZL7" s="501"/>
      <c r="AZM7" s="501"/>
      <c r="AZN7" s="501"/>
      <c r="AZO7" s="501"/>
      <c r="AZP7" s="501"/>
      <c r="AZQ7" s="501"/>
      <c r="AZR7" s="501"/>
      <c r="AZS7" s="501"/>
      <c r="AZT7" s="501"/>
      <c r="AZU7" s="501"/>
      <c r="AZV7" s="501"/>
      <c r="AZW7" s="501"/>
      <c r="AZX7" s="501"/>
      <c r="AZY7" s="501"/>
      <c r="AZZ7" s="501"/>
      <c r="BAA7" s="501"/>
      <c r="BAB7" s="501"/>
      <c r="BAC7" s="501"/>
      <c r="BAD7" s="501"/>
      <c r="BAE7" s="501"/>
      <c r="BAF7" s="501"/>
      <c r="BAG7" s="501"/>
      <c r="BAH7" s="501"/>
      <c r="BAI7" s="501"/>
      <c r="BAJ7" s="501"/>
      <c r="BAK7" s="501"/>
      <c r="BAL7" s="501"/>
      <c r="BAM7" s="501"/>
      <c r="BAN7" s="501"/>
      <c r="BAO7" s="501"/>
      <c r="BAP7" s="501"/>
      <c r="BAQ7" s="501"/>
      <c r="BAR7" s="501"/>
      <c r="BAS7" s="501"/>
      <c r="BAT7" s="501"/>
      <c r="BAU7" s="501"/>
      <c r="BAV7" s="501"/>
      <c r="BAW7" s="501"/>
      <c r="BAX7" s="501"/>
      <c r="BAY7" s="501"/>
      <c r="BAZ7" s="501"/>
      <c r="BBA7" s="501"/>
      <c r="BBB7" s="501"/>
      <c r="BBC7" s="501"/>
      <c r="BBD7" s="501"/>
      <c r="BBE7" s="501"/>
      <c r="BBF7" s="501"/>
      <c r="BBG7" s="501"/>
      <c r="BBH7" s="501"/>
      <c r="BBI7" s="501"/>
      <c r="BBJ7" s="501"/>
      <c r="BBK7" s="501"/>
      <c r="BBL7" s="501"/>
      <c r="BBM7" s="501"/>
      <c r="BBN7" s="501"/>
      <c r="BBO7" s="501"/>
      <c r="BBP7" s="501"/>
      <c r="BBQ7" s="501"/>
      <c r="BBR7" s="501"/>
      <c r="BBS7" s="501"/>
      <c r="BBT7" s="501"/>
      <c r="BBU7" s="501"/>
      <c r="BBV7" s="501"/>
      <c r="BBW7" s="501"/>
      <c r="BBX7" s="501"/>
      <c r="BBY7" s="501"/>
      <c r="BBZ7" s="501"/>
      <c r="BCA7" s="501"/>
      <c r="BCB7" s="501"/>
      <c r="BCC7" s="501"/>
      <c r="BCD7" s="501"/>
      <c r="BCE7" s="501"/>
      <c r="BCF7" s="501"/>
      <c r="BCG7" s="501"/>
      <c r="BCH7" s="501"/>
      <c r="BCI7" s="501"/>
      <c r="BCJ7" s="501"/>
      <c r="BCK7" s="501"/>
      <c r="BCL7" s="501"/>
      <c r="BCM7" s="501"/>
      <c r="BCN7" s="501"/>
      <c r="BCO7" s="501"/>
      <c r="BCP7" s="501"/>
      <c r="BCQ7" s="501"/>
      <c r="BCR7" s="501"/>
      <c r="BCS7" s="501"/>
      <c r="BCT7" s="501"/>
      <c r="BCU7" s="501"/>
      <c r="BCV7" s="501"/>
      <c r="BCW7" s="501"/>
      <c r="BCX7" s="501"/>
      <c r="BCY7" s="501"/>
      <c r="BCZ7" s="501"/>
      <c r="BDA7" s="501"/>
      <c r="BDB7" s="501"/>
      <c r="BDC7" s="501"/>
      <c r="BDD7" s="501"/>
      <c r="BDE7" s="501"/>
      <c r="BDF7" s="501"/>
      <c r="BDG7" s="501"/>
      <c r="BDH7" s="501"/>
      <c r="BDI7" s="501"/>
      <c r="BDJ7" s="501"/>
      <c r="BDK7" s="501"/>
      <c r="BDL7" s="501"/>
      <c r="BDM7" s="501"/>
      <c r="BDN7" s="501"/>
      <c r="BDO7" s="501"/>
      <c r="BDP7" s="501"/>
      <c r="BDQ7" s="501"/>
      <c r="BDR7" s="501"/>
      <c r="BDS7" s="501"/>
      <c r="BDT7" s="501"/>
      <c r="BDU7" s="501"/>
      <c r="BDV7" s="501"/>
      <c r="BDW7" s="501"/>
      <c r="BDX7" s="501"/>
      <c r="BDY7" s="501"/>
      <c r="BDZ7" s="501"/>
      <c r="BEA7" s="501"/>
      <c r="BEB7" s="501"/>
      <c r="BEC7" s="501"/>
      <c r="BED7" s="501"/>
      <c r="BEE7" s="501"/>
      <c r="BEF7" s="501"/>
      <c r="BEG7" s="501"/>
      <c r="BEH7" s="501"/>
      <c r="BEI7" s="501"/>
      <c r="BEJ7" s="501"/>
      <c r="BEK7" s="501"/>
      <c r="BEL7" s="501"/>
      <c r="BEM7" s="501"/>
      <c r="BEN7" s="501"/>
      <c r="BEO7" s="501"/>
      <c r="BEP7" s="501"/>
      <c r="BEQ7" s="501"/>
      <c r="BER7" s="501"/>
      <c r="BES7" s="501"/>
      <c r="BET7" s="501"/>
      <c r="BEU7" s="501"/>
      <c r="BEV7" s="501"/>
      <c r="BEW7" s="501"/>
      <c r="BEX7" s="501"/>
      <c r="BEY7" s="501"/>
      <c r="BEZ7" s="501"/>
      <c r="BFA7" s="501"/>
      <c r="BFB7" s="501"/>
      <c r="BFC7" s="501"/>
      <c r="BFD7" s="501"/>
      <c r="BFE7" s="501"/>
      <c r="BFF7" s="501"/>
      <c r="BFG7" s="501"/>
      <c r="BFH7" s="501"/>
      <c r="BFI7" s="501"/>
      <c r="BFJ7" s="501"/>
      <c r="BFK7" s="501"/>
      <c r="BFL7" s="501"/>
      <c r="BFM7" s="501"/>
      <c r="BFN7" s="501"/>
      <c r="BFO7" s="501"/>
      <c r="BFP7" s="501"/>
      <c r="BFQ7" s="501"/>
      <c r="BFR7" s="501"/>
      <c r="BFS7" s="501"/>
      <c r="BFT7" s="501"/>
      <c r="BFU7" s="501"/>
      <c r="BFV7" s="501"/>
      <c r="BFW7" s="501"/>
      <c r="BFX7" s="501"/>
      <c r="BFY7" s="501"/>
      <c r="BFZ7" s="501"/>
      <c r="BGA7" s="501"/>
      <c r="BGB7" s="501"/>
      <c r="BGC7" s="501"/>
      <c r="BGD7" s="501"/>
      <c r="BGE7" s="501"/>
      <c r="BGF7" s="501"/>
      <c r="BGG7" s="501"/>
      <c r="BGH7" s="501"/>
      <c r="BGI7" s="501"/>
      <c r="BGJ7" s="501"/>
      <c r="BGK7" s="501"/>
      <c r="BGL7" s="501"/>
      <c r="BGM7" s="501"/>
      <c r="BGN7" s="501"/>
      <c r="BGO7" s="501"/>
      <c r="BGP7" s="501"/>
      <c r="BGQ7" s="501"/>
      <c r="BGR7" s="501"/>
      <c r="BGS7" s="501"/>
      <c r="BGT7" s="501"/>
      <c r="BGU7" s="501"/>
      <c r="BGV7" s="501"/>
      <c r="BGW7" s="501"/>
      <c r="BGX7" s="501"/>
      <c r="BGY7" s="501"/>
      <c r="BGZ7" s="501"/>
      <c r="BHA7" s="501"/>
      <c r="BHB7" s="501"/>
      <c r="BHC7" s="501"/>
      <c r="BHD7" s="501"/>
      <c r="BHE7" s="501"/>
      <c r="BHF7" s="501"/>
      <c r="BHG7" s="501"/>
      <c r="BHH7" s="501"/>
      <c r="BHI7" s="501"/>
      <c r="BHJ7" s="501"/>
      <c r="BHK7" s="501"/>
      <c r="BHL7" s="501"/>
      <c r="BHM7" s="501"/>
      <c r="BHN7" s="501"/>
      <c r="BHO7" s="501"/>
      <c r="BHP7" s="501"/>
      <c r="BHQ7" s="501"/>
      <c r="BHR7" s="501"/>
      <c r="BHS7" s="501"/>
      <c r="BHT7" s="501"/>
      <c r="BHU7" s="501"/>
      <c r="BHV7" s="501"/>
      <c r="BHW7" s="501"/>
      <c r="BHX7" s="501"/>
      <c r="BHY7" s="501"/>
      <c r="BHZ7" s="501"/>
      <c r="BIA7" s="501"/>
      <c r="BIB7" s="501"/>
      <c r="BIC7" s="501"/>
      <c r="BID7" s="501"/>
      <c r="BIE7" s="501"/>
      <c r="BIF7" s="501"/>
      <c r="BIG7" s="501"/>
      <c r="BIH7" s="501"/>
      <c r="BII7" s="501"/>
      <c r="BIJ7" s="501"/>
      <c r="BIK7" s="501"/>
      <c r="BIL7" s="501"/>
      <c r="BIM7" s="501"/>
      <c r="BIN7" s="501"/>
      <c r="BIO7" s="501"/>
      <c r="BIP7" s="501"/>
      <c r="BIQ7" s="501"/>
      <c r="BIR7" s="501"/>
      <c r="BIS7" s="501"/>
      <c r="BIT7" s="501"/>
      <c r="BIU7" s="501"/>
      <c r="BIV7" s="501"/>
      <c r="BIW7" s="501"/>
      <c r="BIX7" s="501"/>
      <c r="BIY7" s="501"/>
      <c r="BIZ7" s="501"/>
      <c r="BJA7" s="501"/>
      <c r="BJB7" s="501"/>
      <c r="BJC7" s="501"/>
      <c r="BJD7" s="501"/>
      <c r="BJE7" s="501"/>
      <c r="BJF7" s="501"/>
      <c r="BJG7" s="501"/>
      <c r="BJH7" s="501"/>
      <c r="BJI7" s="501"/>
      <c r="BJJ7" s="501"/>
      <c r="BJK7" s="501"/>
      <c r="BJL7" s="501"/>
      <c r="BJM7" s="501"/>
      <c r="BJN7" s="501"/>
      <c r="BJO7" s="501"/>
      <c r="BJP7" s="501"/>
      <c r="BJQ7" s="501"/>
      <c r="BJR7" s="501"/>
      <c r="BJS7" s="501"/>
      <c r="BJT7" s="501"/>
      <c r="BJU7" s="501"/>
      <c r="BJV7" s="501"/>
      <c r="BJW7" s="501"/>
      <c r="BJX7" s="501"/>
      <c r="BJY7" s="501"/>
      <c r="BJZ7" s="501"/>
      <c r="BKA7" s="501"/>
      <c r="BKB7" s="501"/>
      <c r="BKC7" s="501"/>
      <c r="BKD7" s="501"/>
      <c r="BKE7" s="501"/>
      <c r="BKF7" s="501"/>
      <c r="BKG7" s="501"/>
      <c r="BKH7" s="501"/>
      <c r="BKI7" s="501"/>
      <c r="BKJ7" s="501"/>
      <c r="BKK7" s="501"/>
      <c r="BKL7" s="501"/>
      <c r="BKM7" s="501"/>
      <c r="BKN7" s="501"/>
      <c r="BKO7" s="501"/>
      <c r="BKP7" s="501"/>
      <c r="BKQ7" s="501"/>
      <c r="BKR7" s="501"/>
      <c r="BKS7" s="501"/>
      <c r="BKT7" s="501"/>
      <c r="BKU7" s="501"/>
      <c r="BKV7" s="501"/>
      <c r="BKW7" s="501"/>
      <c r="BKX7" s="501"/>
      <c r="BKY7" s="501"/>
      <c r="BKZ7" s="501"/>
      <c r="BLA7" s="501"/>
      <c r="BLB7" s="501"/>
      <c r="BLC7" s="501"/>
      <c r="BLD7" s="501"/>
      <c r="BLE7" s="501"/>
      <c r="BLF7" s="501"/>
      <c r="BLG7" s="501"/>
      <c r="BLH7" s="501"/>
      <c r="BLI7" s="501"/>
      <c r="BLJ7" s="501"/>
      <c r="BLK7" s="501"/>
      <c r="BLL7" s="501"/>
      <c r="BLM7" s="501"/>
      <c r="BLN7" s="501"/>
      <c r="BLO7" s="501"/>
      <c r="BLP7" s="501"/>
      <c r="BLQ7" s="501"/>
      <c r="BLR7" s="501"/>
      <c r="BLS7" s="501"/>
      <c r="BLT7" s="501"/>
      <c r="BLU7" s="501"/>
      <c r="BLV7" s="501"/>
      <c r="BLW7" s="501"/>
      <c r="BLX7" s="501"/>
      <c r="BLY7" s="501"/>
      <c r="BLZ7" s="501"/>
      <c r="BMA7" s="501"/>
      <c r="BMB7" s="501"/>
      <c r="BMC7" s="501"/>
      <c r="BMD7" s="501"/>
      <c r="BME7" s="501"/>
      <c r="BMF7" s="501"/>
      <c r="BMG7" s="501"/>
      <c r="BMH7" s="501"/>
      <c r="BMI7" s="501"/>
      <c r="BMJ7" s="501"/>
      <c r="BMK7" s="501"/>
      <c r="BML7" s="501"/>
      <c r="BMM7" s="501"/>
      <c r="BMN7" s="501"/>
      <c r="BMO7" s="501"/>
      <c r="BMP7" s="501"/>
      <c r="BMQ7" s="501"/>
      <c r="BMR7" s="501"/>
      <c r="BMS7" s="501"/>
      <c r="BMT7" s="501"/>
      <c r="BMU7" s="501"/>
      <c r="BMV7" s="501"/>
      <c r="BMW7" s="501"/>
      <c r="BMX7" s="501"/>
      <c r="BMY7" s="501"/>
      <c r="BMZ7" s="501"/>
      <c r="BNA7" s="501"/>
      <c r="BNB7" s="501"/>
      <c r="BNC7" s="501"/>
      <c r="BND7" s="501"/>
      <c r="BNE7" s="501"/>
      <c r="BNF7" s="501"/>
      <c r="BNG7" s="501"/>
      <c r="BNH7" s="501"/>
      <c r="BNI7" s="501"/>
      <c r="BNJ7" s="501"/>
      <c r="BNK7" s="501"/>
      <c r="BNL7" s="501"/>
      <c r="BNM7" s="501"/>
      <c r="BNN7" s="501"/>
      <c r="BNO7" s="501"/>
      <c r="BNP7" s="501"/>
      <c r="BNQ7" s="501"/>
      <c r="BNR7" s="501"/>
      <c r="BNS7" s="501"/>
      <c r="BNT7" s="501"/>
      <c r="BNU7" s="501"/>
      <c r="BNV7" s="501"/>
      <c r="BNW7" s="501"/>
      <c r="BNX7" s="501"/>
      <c r="BNY7" s="501"/>
      <c r="BNZ7" s="501"/>
      <c r="BOA7" s="501"/>
      <c r="BOB7" s="501"/>
      <c r="BOC7" s="501"/>
      <c r="BOD7" s="501"/>
      <c r="BOE7" s="501"/>
      <c r="BOF7" s="501"/>
      <c r="BOG7" s="501"/>
      <c r="BOH7" s="501"/>
      <c r="BOI7" s="501"/>
      <c r="BOJ7" s="501"/>
      <c r="BOK7" s="501"/>
      <c r="BOL7" s="501"/>
      <c r="BOM7" s="501"/>
      <c r="BON7" s="501"/>
      <c r="BOO7" s="501"/>
      <c r="BOP7" s="501"/>
      <c r="BOQ7" s="501"/>
      <c r="BOR7" s="501"/>
      <c r="BOS7" s="501"/>
      <c r="BOT7" s="501"/>
      <c r="BOU7" s="501"/>
      <c r="BOV7" s="501"/>
      <c r="BOW7" s="501"/>
      <c r="BOX7" s="501"/>
      <c r="BOY7" s="501"/>
      <c r="BOZ7" s="501"/>
      <c r="BPA7" s="501"/>
      <c r="BPB7" s="501"/>
      <c r="BPC7" s="501"/>
      <c r="BPD7" s="501"/>
      <c r="BPE7" s="501"/>
      <c r="BPF7" s="501"/>
      <c r="BPG7" s="501"/>
      <c r="BPH7" s="501"/>
      <c r="BPI7" s="501"/>
      <c r="BPJ7" s="501"/>
      <c r="BPK7" s="501"/>
      <c r="BPL7" s="501"/>
      <c r="BPM7" s="501"/>
      <c r="BPN7" s="501"/>
      <c r="BPO7" s="501"/>
      <c r="BPP7" s="501"/>
      <c r="BPQ7" s="501"/>
      <c r="BPR7" s="501"/>
      <c r="BPS7" s="501"/>
      <c r="BPT7" s="501"/>
      <c r="BPU7" s="501"/>
      <c r="BPV7" s="501"/>
      <c r="BPW7" s="501"/>
      <c r="BPX7" s="501"/>
      <c r="BPY7" s="501"/>
      <c r="BPZ7" s="501"/>
      <c r="BQA7" s="501"/>
      <c r="BQB7" s="501"/>
      <c r="BQC7" s="501"/>
      <c r="BQD7" s="501"/>
      <c r="BQE7" s="501"/>
      <c r="BQF7" s="501"/>
      <c r="BQG7" s="501"/>
      <c r="BQH7" s="501"/>
      <c r="BQI7" s="501"/>
      <c r="BQJ7" s="501"/>
      <c r="BQK7" s="501"/>
      <c r="BQL7" s="501"/>
      <c r="BQM7" s="501"/>
      <c r="BQN7" s="501"/>
      <c r="BQO7" s="501"/>
      <c r="BQP7" s="501"/>
      <c r="BQQ7" s="501"/>
      <c r="BQR7" s="501"/>
      <c r="BQS7" s="501"/>
      <c r="BQT7" s="501"/>
      <c r="BQU7" s="501"/>
      <c r="BQV7" s="501"/>
      <c r="BQW7" s="501"/>
      <c r="BQX7" s="501"/>
      <c r="BQY7" s="501"/>
      <c r="BQZ7" s="501"/>
      <c r="BRA7" s="501"/>
      <c r="BRB7" s="501"/>
      <c r="BRC7" s="501"/>
      <c r="BRD7" s="501"/>
      <c r="BRE7" s="501"/>
      <c r="BRF7" s="501"/>
      <c r="BRG7" s="501"/>
      <c r="BRH7" s="501"/>
      <c r="BRI7" s="501"/>
      <c r="BRJ7" s="501"/>
      <c r="BRK7" s="501"/>
      <c r="BRL7" s="501"/>
      <c r="BRM7" s="501"/>
      <c r="BRN7" s="501"/>
      <c r="BRO7" s="501"/>
      <c r="BRP7" s="501"/>
      <c r="BRQ7" s="501"/>
      <c r="BRR7" s="501"/>
      <c r="BRS7" s="501"/>
      <c r="BRT7" s="501"/>
      <c r="BRU7" s="501"/>
      <c r="BRV7" s="501"/>
      <c r="BRW7" s="501"/>
      <c r="BRX7" s="501"/>
      <c r="BRY7" s="501"/>
      <c r="BRZ7" s="501"/>
      <c r="BSA7" s="501"/>
      <c r="BSB7" s="501"/>
      <c r="BSC7" s="501"/>
    </row>
    <row r="8" spans="1:1849" s="502" customFormat="1" ht="15.75" customHeight="1" x14ac:dyDescent="0.2">
      <c r="A8" s="503">
        <v>7</v>
      </c>
      <c r="B8" s="504" t="s">
        <v>25</v>
      </c>
      <c r="C8" s="646" t="s">
        <v>423</v>
      </c>
      <c r="D8" s="504" t="s">
        <v>26</v>
      </c>
      <c r="E8" s="504" t="s">
        <v>27</v>
      </c>
      <c r="F8" s="504">
        <v>40</v>
      </c>
      <c r="G8" s="504">
        <v>20</v>
      </c>
      <c r="H8" s="504">
        <v>40</v>
      </c>
      <c r="I8" s="504">
        <v>20</v>
      </c>
      <c r="J8" s="504">
        <v>1</v>
      </c>
      <c r="K8" s="504">
        <f t="shared" si="0"/>
        <v>800</v>
      </c>
      <c r="L8" s="504" t="s">
        <v>28</v>
      </c>
      <c r="M8" s="504" t="s">
        <v>346</v>
      </c>
      <c r="N8" s="504" t="s">
        <v>548</v>
      </c>
      <c r="O8" s="504">
        <v>79.002669999999995</v>
      </c>
      <c r="P8" s="506">
        <v>35000</v>
      </c>
      <c r="Q8" s="505">
        <v>40000</v>
      </c>
      <c r="R8" s="505">
        <v>80000</v>
      </c>
      <c r="S8" s="501"/>
      <c r="T8" s="572"/>
      <c r="U8" s="501"/>
      <c r="V8" s="501"/>
      <c r="W8" s="501"/>
      <c r="X8" s="501"/>
      <c r="Y8" s="501"/>
      <c r="Z8" s="501"/>
      <c r="AA8" s="501"/>
      <c r="AB8" s="501"/>
      <c r="AC8" s="501"/>
      <c r="AD8" s="501"/>
      <c r="AE8" s="501"/>
      <c r="AF8" s="501"/>
      <c r="AG8" s="501"/>
      <c r="AH8" s="501"/>
      <c r="AI8" s="501"/>
      <c r="AJ8" s="501"/>
      <c r="AK8" s="501"/>
      <c r="AL8" s="501"/>
      <c r="AM8" s="501"/>
      <c r="AN8" s="501"/>
      <c r="AO8" s="501"/>
      <c r="AP8" s="501"/>
      <c r="AQ8" s="501"/>
      <c r="AR8" s="501"/>
      <c r="AS8" s="501"/>
      <c r="AT8" s="501"/>
      <c r="AU8" s="501"/>
      <c r="AV8" s="501"/>
      <c r="AW8" s="501"/>
      <c r="AX8" s="501"/>
      <c r="AY8" s="501"/>
      <c r="AZ8" s="501"/>
      <c r="BA8" s="501"/>
      <c r="BB8" s="501"/>
      <c r="BC8" s="501"/>
      <c r="BD8" s="501"/>
      <c r="BE8" s="501"/>
      <c r="BF8" s="501"/>
      <c r="BG8" s="501"/>
      <c r="BH8" s="501"/>
      <c r="BI8" s="501"/>
      <c r="BJ8" s="501"/>
      <c r="BK8" s="501"/>
      <c r="BL8" s="501"/>
      <c r="BM8" s="501"/>
      <c r="BN8" s="501"/>
      <c r="BO8" s="501"/>
      <c r="BP8" s="501"/>
      <c r="BQ8" s="501"/>
      <c r="BR8" s="501"/>
      <c r="BS8" s="501"/>
      <c r="BT8" s="501"/>
      <c r="BU8" s="501"/>
      <c r="BV8" s="501"/>
      <c r="BW8" s="501"/>
      <c r="BX8" s="501"/>
      <c r="BY8" s="501"/>
      <c r="BZ8" s="501"/>
      <c r="CA8" s="501"/>
      <c r="CB8" s="501"/>
      <c r="CC8" s="501"/>
      <c r="CD8" s="501"/>
      <c r="CE8" s="501"/>
      <c r="CF8" s="501"/>
      <c r="CG8" s="501"/>
      <c r="CH8" s="501"/>
      <c r="CI8" s="501"/>
      <c r="CJ8" s="501"/>
      <c r="CK8" s="501"/>
      <c r="CL8" s="501"/>
      <c r="CM8" s="501"/>
      <c r="CN8" s="501"/>
      <c r="CO8" s="501"/>
      <c r="CP8" s="501"/>
      <c r="CQ8" s="501"/>
      <c r="CR8" s="501"/>
      <c r="CS8" s="501"/>
      <c r="CT8" s="501"/>
      <c r="CU8" s="501"/>
      <c r="CV8" s="501"/>
      <c r="CW8" s="501"/>
      <c r="CX8" s="501"/>
      <c r="CY8" s="501"/>
      <c r="CZ8" s="501"/>
      <c r="DA8" s="501"/>
      <c r="DB8" s="501"/>
      <c r="DC8" s="501"/>
      <c r="DD8" s="501"/>
      <c r="DE8" s="501"/>
      <c r="DF8" s="501"/>
      <c r="DG8" s="501"/>
      <c r="DH8" s="501"/>
      <c r="DI8" s="501"/>
      <c r="DJ8" s="501"/>
      <c r="DK8" s="501"/>
      <c r="DL8" s="501"/>
      <c r="DM8" s="501"/>
      <c r="DN8" s="501"/>
      <c r="DO8" s="501"/>
      <c r="DP8" s="501"/>
      <c r="DQ8" s="501"/>
      <c r="DR8" s="501"/>
      <c r="DS8" s="501"/>
      <c r="DT8" s="501"/>
      <c r="DU8" s="501"/>
      <c r="DV8" s="501"/>
      <c r="DW8" s="501"/>
      <c r="DX8" s="501"/>
      <c r="DY8" s="501"/>
      <c r="DZ8" s="501"/>
      <c r="EA8" s="501"/>
      <c r="EB8" s="501"/>
      <c r="EC8" s="501"/>
      <c r="ED8" s="501"/>
      <c r="EE8" s="501"/>
      <c r="EF8" s="501"/>
      <c r="EG8" s="501"/>
      <c r="EH8" s="501"/>
      <c r="EI8" s="501"/>
      <c r="EJ8" s="501"/>
      <c r="EK8" s="501"/>
      <c r="EL8" s="501"/>
      <c r="EM8" s="501"/>
      <c r="EN8" s="501"/>
      <c r="EO8" s="501"/>
      <c r="EP8" s="501"/>
      <c r="EQ8" s="501"/>
      <c r="ER8" s="501"/>
      <c r="ES8" s="501"/>
      <c r="ET8" s="501"/>
      <c r="EU8" s="501"/>
      <c r="EV8" s="501"/>
      <c r="EW8" s="501"/>
      <c r="EX8" s="501"/>
      <c r="EY8" s="501"/>
      <c r="EZ8" s="501"/>
      <c r="FA8" s="501"/>
      <c r="FB8" s="501"/>
      <c r="FC8" s="501"/>
      <c r="FD8" s="501"/>
      <c r="FE8" s="501"/>
      <c r="FF8" s="501"/>
      <c r="FG8" s="501"/>
      <c r="FH8" s="501"/>
      <c r="FI8" s="501"/>
      <c r="FJ8" s="501"/>
      <c r="FK8" s="501"/>
      <c r="FL8" s="501"/>
      <c r="FM8" s="501"/>
      <c r="FN8" s="501"/>
      <c r="FO8" s="501"/>
      <c r="FP8" s="501"/>
      <c r="FQ8" s="501"/>
      <c r="FR8" s="501"/>
      <c r="FS8" s="501"/>
      <c r="FT8" s="501"/>
      <c r="FU8" s="501"/>
      <c r="FV8" s="501"/>
      <c r="FW8" s="501"/>
      <c r="FX8" s="501"/>
      <c r="FY8" s="501"/>
      <c r="FZ8" s="501"/>
      <c r="GA8" s="501"/>
      <c r="GB8" s="501"/>
      <c r="GC8" s="501"/>
      <c r="GD8" s="501"/>
      <c r="GE8" s="501"/>
      <c r="GF8" s="501"/>
      <c r="GG8" s="501"/>
      <c r="GH8" s="501"/>
      <c r="GI8" s="501"/>
      <c r="GJ8" s="501"/>
      <c r="GK8" s="501"/>
      <c r="GL8" s="501"/>
      <c r="GM8" s="501"/>
      <c r="GN8" s="501"/>
      <c r="GO8" s="501"/>
      <c r="GP8" s="501"/>
      <c r="GQ8" s="501"/>
      <c r="GR8" s="501"/>
      <c r="GS8" s="501"/>
      <c r="GT8" s="501"/>
      <c r="GU8" s="501"/>
      <c r="GV8" s="501"/>
      <c r="GW8" s="501"/>
      <c r="GX8" s="501"/>
      <c r="GY8" s="501"/>
      <c r="GZ8" s="501"/>
      <c r="HA8" s="501"/>
      <c r="HB8" s="501"/>
      <c r="HC8" s="501"/>
      <c r="HD8" s="501"/>
      <c r="HE8" s="501"/>
      <c r="HF8" s="501"/>
      <c r="HG8" s="501"/>
      <c r="HH8" s="501"/>
      <c r="HI8" s="501"/>
      <c r="HJ8" s="501"/>
      <c r="HK8" s="501"/>
      <c r="HL8" s="501"/>
      <c r="HM8" s="501"/>
      <c r="HN8" s="501"/>
      <c r="HO8" s="501"/>
      <c r="HP8" s="501"/>
      <c r="HQ8" s="501"/>
      <c r="HR8" s="501"/>
      <c r="HS8" s="501"/>
      <c r="HT8" s="501"/>
      <c r="HU8" s="501"/>
      <c r="HV8" s="501"/>
      <c r="HW8" s="501"/>
      <c r="HX8" s="501"/>
      <c r="HY8" s="501"/>
      <c r="HZ8" s="501"/>
      <c r="IA8" s="501"/>
      <c r="IB8" s="501"/>
      <c r="IC8" s="501"/>
      <c r="ID8" s="501"/>
      <c r="IE8" s="501"/>
      <c r="IF8" s="501"/>
      <c r="IG8" s="501"/>
      <c r="IH8" s="501"/>
      <c r="II8" s="501"/>
      <c r="IJ8" s="501"/>
      <c r="IK8" s="501"/>
      <c r="IL8" s="501"/>
      <c r="IM8" s="501"/>
      <c r="IN8" s="501"/>
      <c r="IO8" s="501"/>
      <c r="IP8" s="501"/>
      <c r="IQ8" s="501"/>
      <c r="IR8" s="501"/>
      <c r="IS8" s="501"/>
      <c r="IT8" s="501"/>
      <c r="IU8" s="501"/>
      <c r="IV8" s="501"/>
      <c r="IW8" s="501"/>
      <c r="IX8" s="501"/>
      <c r="IY8" s="501"/>
      <c r="IZ8" s="501"/>
      <c r="JA8" s="501"/>
      <c r="JB8" s="501"/>
      <c r="JC8" s="501"/>
      <c r="JD8" s="501"/>
      <c r="JE8" s="501"/>
      <c r="JF8" s="501"/>
      <c r="JG8" s="501"/>
      <c r="JH8" s="501"/>
      <c r="JI8" s="501"/>
      <c r="JJ8" s="501"/>
      <c r="JK8" s="501"/>
      <c r="JL8" s="501"/>
      <c r="JM8" s="501"/>
      <c r="JN8" s="501"/>
      <c r="JO8" s="501"/>
      <c r="JP8" s="501"/>
      <c r="JQ8" s="501"/>
      <c r="JR8" s="501"/>
      <c r="JS8" s="501"/>
      <c r="JT8" s="501"/>
      <c r="JU8" s="501"/>
      <c r="JV8" s="501"/>
      <c r="JW8" s="501"/>
      <c r="JX8" s="501"/>
      <c r="JY8" s="501"/>
      <c r="JZ8" s="501"/>
      <c r="KA8" s="501"/>
      <c r="KB8" s="501"/>
      <c r="KC8" s="501"/>
      <c r="KD8" s="501"/>
      <c r="KE8" s="501"/>
      <c r="KF8" s="501"/>
      <c r="KG8" s="501"/>
      <c r="KH8" s="501"/>
      <c r="KI8" s="501"/>
      <c r="KJ8" s="501"/>
      <c r="KK8" s="501"/>
      <c r="KL8" s="501"/>
      <c r="KM8" s="501"/>
      <c r="KN8" s="501"/>
      <c r="KO8" s="501"/>
      <c r="KP8" s="501"/>
      <c r="KQ8" s="501"/>
      <c r="KR8" s="501"/>
      <c r="KS8" s="501"/>
      <c r="KT8" s="501"/>
      <c r="KU8" s="501"/>
      <c r="KV8" s="501"/>
      <c r="KW8" s="501"/>
      <c r="KX8" s="501"/>
      <c r="KY8" s="501"/>
      <c r="KZ8" s="501"/>
      <c r="LA8" s="501"/>
      <c r="LB8" s="501"/>
      <c r="LC8" s="501"/>
      <c r="LD8" s="501"/>
      <c r="LE8" s="501"/>
      <c r="LF8" s="501"/>
      <c r="LG8" s="501"/>
      <c r="LH8" s="501"/>
      <c r="LI8" s="501"/>
      <c r="LJ8" s="501"/>
      <c r="LK8" s="501"/>
      <c r="LL8" s="501"/>
      <c r="LM8" s="501"/>
      <c r="LN8" s="501"/>
      <c r="LO8" s="501"/>
      <c r="LP8" s="501"/>
      <c r="LQ8" s="501"/>
      <c r="LR8" s="501"/>
      <c r="LS8" s="501"/>
      <c r="LT8" s="501"/>
      <c r="LU8" s="501"/>
      <c r="LV8" s="501"/>
      <c r="LW8" s="501"/>
      <c r="LX8" s="501"/>
      <c r="LY8" s="501"/>
      <c r="LZ8" s="501"/>
      <c r="MA8" s="501"/>
      <c r="MB8" s="501"/>
      <c r="MC8" s="501"/>
      <c r="MD8" s="501"/>
      <c r="ME8" s="501"/>
      <c r="MF8" s="501"/>
      <c r="MG8" s="501"/>
      <c r="MH8" s="501"/>
      <c r="MI8" s="501"/>
      <c r="MJ8" s="501"/>
      <c r="MK8" s="501"/>
      <c r="ML8" s="501"/>
      <c r="MM8" s="501"/>
      <c r="MN8" s="501"/>
      <c r="MO8" s="501"/>
      <c r="MP8" s="501"/>
      <c r="MQ8" s="501"/>
      <c r="MR8" s="501"/>
      <c r="MS8" s="501"/>
      <c r="MT8" s="501"/>
      <c r="MU8" s="501"/>
      <c r="MV8" s="501"/>
      <c r="MW8" s="501"/>
      <c r="MX8" s="501"/>
      <c r="MY8" s="501"/>
      <c r="MZ8" s="501"/>
      <c r="NA8" s="501"/>
      <c r="NB8" s="501"/>
      <c r="NC8" s="501"/>
      <c r="ND8" s="501"/>
      <c r="NE8" s="501"/>
      <c r="NF8" s="501"/>
      <c r="NG8" s="501"/>
      <c r="NH8" s="501"/>
      <c r="NI8" s="501"/>
      <c r="NJ8" s="501"/>
      <c r="NK8" s="501"/>
      <c r="NL8" s="501"/>
      <c r="NM8" s="501"/>
      <c r="NN8" s="501"/>
      <c r="NO8" s="501"/>
      <c r="NP8" s="501"/>
      <c r="NQ8" s="501"/>
      <c r="NR8" s="501"/>
      <c r="NS8" s="501"/>
      <c r="NT8" s="501"/>
      <c r="NU8" s="501"/>
      <c r="NV8" s="501"/>
      <c r="NW8" s="501"/>
      <c r="NX8" s="501"/>
      <c r="NY8" s="501"/>
      <c r="NZ8" s="501"/>
      <c r="OA8" s="501"/>
      <c r="OB8" s="501"/>
      <c r="OC8" s="501"/>
      <c r="OD8" s="501"/>
      <c r="OE8" s="501"/>
      <c r="OF8" s="501"/>
      <c r="OG8" s="501"/>
      <c r="OH8" s="501"/>
      <c r="OI8" s="501"/>
      <c r="OJ8" s="501"/>
      <c r="OK8" s="501"/>
      <c r="OL8" s="501"/>
      <c r="OM8" s="501"/>
      <c r="ON8" s="501"/>
      <c r="OO8" s="501"/>
      <c r="OP8" s="501"/>
      <c r="OQ8" s="501"/>
      <c r="OR8" s="501"/>
      <c r="OS8" s="501"/>
      <c r="OT8" s="501"/>
      <c r="OU8" s="501"/>
      <c r="OV8" s="501"/>
      <c r="OW8" s="501"/>
      <c r="OX8" s="501"/>
      <c r="OY8" s="501"/>
      <c r="OZ8" s="501"/>
      <c r="PA8" s="501"/>
      <c r="PB8" s="501"/>
      <c r="PC8" s="501"/>
      <c r="PD8" s="501"/>
      <c r="PE8" s="501"/>
      <c r="PF8" s="501"/>
      <c r="PG8" s="501"/>
      <c r="PH8" s="501"/>
      <c r="PI8" s="501"/>
      <c r="PJ8" s="501"/>
      <c r="PK8" s="501"/>
      <c r="PL8" s="501"/>
      <c r="PM8" s="501"/>
      <c r="PN8" s="501"/>
      <c r="PO8" s="501"/>
      <c r="PP8" s="501"/>
      <c r="PQ8" s="501"/>
      <c r="PR8" s="501"/>
      <c r="PS8" s="501"/>
      <c r="PT8" s="501"/>
      <c r="PU8" s="501"/>
      <c r="PV8" s="501"/>
      <c r="PW8" s="501"/>
      <c r="PX8" s="501"/>
      <c r="PY8" s="501"/>
      <c r="PZ8" s="501"/>
      <c r="QA8" s="501"/>
      <c r="QB8" s="501"/>
      <c r="QC8" s="501"/>
      <c r="QD8" s="501"/>
      <c r="QE8" s="501"/>
      <c r="QF8" s="501"/>
      <c r="QG8" s="501"/>
      <c r="QH8" s="501"/>
      <c r="QI8" s="501"/>
      <c r="QJ8" s="501"/>
      <c r="QK8" s="501"/>
      <c r="QL8" s="501"/>
      <c r="QM8" s="501"/>
      <c r="QN8" s="501"/>
      <c r="QO8" s="501"/>
      <c r="QP8" s="501"/>
      <c r="QQ8" s="501"/>
      <c r="QR8" s="501"/>
      <c r="QS8" s="501"/>
      <c r="QT8" s="501"/>
      <c r="QU8" s="501"/>
      <c r="QV8" s="501"/>
      <c r="QW8" s="501"/>
      <c r="QX8" s="501"/>
      <c r="QY8" s="501"/>
      <c r="QZ8" s="501"/>
      <c r="RA8" s="501"/>
      <c r="RB8" s="501"/>
      <c r="RC8" s="501"/>
      <c r="RD8" s="501"/>
      <c r="RE8" s="501"/>
      <c r="RF8" s="501"/>
      <c r="RG8" s="501"/>
      <c r="RH8" s="501"/>
      <c r="RI8" s="501"/>
      <c r="RJ8" s="501"/>
      <c r="RK8" s="501"/>
      <c r="RL8" s="501"/>
      <c r="RM8" s="501"/>
      <c r="RN8" s="501"/>
      <c r="RO8" s="501"/>
      <c r="RP8" s="501"/>
      <c r="RQ8" s="501"/>
      <c r="RR8" s="501"/>
      <c r="RS8" s="501"/>
      <c r="RT8" s="501"/>
      <c r="RU8" s="501"/>
      <c r="RV8" s="501"/>
      <c r="RW8" s="501"/>
      <c r="RX8" s="501"/>
      <c r="RY8" s="501"/>
      <c r="RZ8" s="501"/>
      <c r="SA8" s="501"/>
      <c r="SB8" s="501"/>
      <c r="SC8" s="501"/>
      <c r="SD8" s="501"/>
      <c r="SE8" s="501"/>
      <c r="SF8" s="501"/>
      <c r="SG8" s="501"/>
      <c r="SH8" s="501"/>
      <c r="SI8" s="501"/>
      <c r="SJ8" s="501"/>
      <c r="SK8" s="501"/>
      <c r="SL8" s="501"/>
      <c r="SM8" s="501"/>
      <c r="SN8" s="501"/>
      <c r="SO8" s="501"/>
      <c r="SP8" s="501"/>
      <c r="SQ8" s="501"/>
      <c r="SR8" s="501"/>
      <c r="SS8" s="501"/>
      <c r="ST8" s="501"/>
      <c r="SU8" s="501"/>
      <c r="SV8" s="501"/>
      <c r="SW8" s="501"/>
      <c r="SX8" s="501"/>
      <c r="SY8" s="501"/>
      <c r="SZ8" s="501"/>
      <c r="TA8" s="501"/>
      <c r="TB8" s="501"/>
      <c r="TC8" s="501"/>
      <c r="TD8" s="501"/>
      <c r="TE8" s="501"/>
      <c r="TF8" s="501"/>
      <c r="TG8" s="501"/>
      <c r="TH8" s="501"/>
      <c r="TI8" s="501"/>
      <c r="TJ8" s="501"/>
      <c r="TK8" s="501"/>
      <c r="TL8" s="501"/>
      <c r="TM8" s="501"/>
      <c r="TN8" s="501"/>
      <c r="TO8" s="501"/>
      <c r="TP8" s="501"/>
      <c r="TQ8" s="501"/>
      <c r="TR8" s="501"/>
      <c r="TS8" s="501"/>
      <c r="TT8" s="501"/>
      <c r="TU8" s="501"/>
      <c r="TV8" s="501"/>
      <c r="TW8" s="501"/>
      <c r="TX8" s="501"/>
      <c r="TY8" s="501"/>
      <c r="TZ8" s="501"/>
      <c r="UA8" s="501"/>
      <c r="UB8" s="501"/>
      <c r="UC8" s="501"/>
      <c r="UD8" s="501"/>
      <c r="UE8" s="501"/>
      <c r="UF8" s="501"/>
      <c r="UG8" s="501"/>
      <c r="UH8" s="501"/>
      <c r="UI8" s="501"/>
      <c r="UJ8" s="501"/>
      <c r="UK8" s="501"/>
      <c r="UL8" s="501"/>
      <c r="UM8" s="501"/>
      <c r="UN8" s="501"/>
      <c r="UO8" s="501"/>
      <c r="UP8" s="501"/>
      <c r="UQ8" s="501"/>
      <c r="UR8" s="501"/>
      <c r="US8" s="501"/>
      <c r="UT8" s="501"/>
      <c r="UU8" s="501"/>
      <c r="UV8" s="501"/>
      <c r="UW8" s="501"/>
      <c r="UX8" s="501"/>
      <c r="UY8" s="501"/>
      <c r="UZ8" s="501"/>
      <c r="VA8" s="501"/>
      <c r="VB8" s="501"/>
      <c r="VC8" s="501"/>
      <c r="VD8" s="501"/>
      <c r="VE8" s="501"/>
      <c r="VF8" s="501"/>
      <c r="VG8" s="501"/>
      <c r="VH8" s="501"/>
      <c r="VI8" s="501"/>
      <c r="VJ8" s="501"/>
      <c r="VK8" s="501"/>
      <c r="VL8" s="501"/>
      <c r="VM8" s="501"/>
      <c r="VN8" s="501"/>
      <c r="VO8" s="501"/>
      <c r="VP8" s="501"/>
      <c r="VQ8" s="501"/>
      <c r="VR8" s="501"/>
      <c r="VS8" s="501"/>
      <c r="VT8" s="501"/>
      <c r="VU8" s="501"/>
      <c r="VV8" s="501"/>
      <c r="VW8" s="501"/>
      <c r="VX8" s="501"/>
      <c r="VY8" s="501"/>
      <c r="VZ8" s="501"/>
      <c r="WA8" s="501"/>
      <c r="WB8" s="501"/>
      <c r="WC8" s="501"/>
      <c r="WD8" s="501"/>
      <c r="WE8" s="501"/>
      <c r="WF8" s="501"/>
      <c r="WG8" s="501"/>
      <c r="WH8" s="501"/>
      <c r="WI8" s="501"/>
      <c r="WJ8" s="501"/>
      <c r="WK8" s="501"/>
      <c r="WL8" s="501"/>
      <c r="WM8" s="501"/>
      <c r="WN8" s="501"/>
      <c r="WO8" s="501"/>
      <c r="WP8" s="501"/>
      <c r="WQ8" s="501"/>
      <c r="WR8" s="501"/>
      <c r="WS8" s="501"/>
      <c r="WT8" s="501"/>
      <c r="WU8" s="501"/>
      <c r="WV8" s="501"/>
      <c r="WW8" s="501"/>
      <c r="WX8" s="501"/>
      <c r="WY8" s="501"/>
      <c r="WZ8" s="501"/>
      <c r="XA8" s="501"/>
      <c r="XB8" s="501"/>
      <c r="XC8" s="501"/>
      <c r="XD8" s="501"/>
      <c r="XE8" s="501"/>
      <c r="XF8" s="501"/>
      <c r="XG8" s="501"/>
      <c r="XH8" s="501"/>
      <c r="XI8" s="501"/>
      <c r="XJ8" s="501"/>
      <c r="XK8" s="501"/>
      <c r="XL8" s="501"/>
      <c r="XM8" s="501"/>
      <c r="XN8" s="501"/>
      <c r="XO8" s="501"/>
      <c r="XP8" s="501"/>
      <c r="XQ8" s="501"/>
      <c r="XR8" s="501"/>
      <c r="XS8" s="501"/>
      <c r="XT8" s="501"/>
      <c r="XU8" s="501"/>
      <c r="XV8" s="501"/>
      <c r="XW8" s="501"/>
      <c r="XX8" s="501"/>
      <c r="XY8" s="501"/>
      <c r="XZ8" s="501"/>
      <c r="YA8" s="501"/>
      <c r="YB8" s="501"/>
      <c r="YC8" s="501"/>
      <c r="YD8" s="501"/>
      <c r="YE8" s="501"/>
      <c r="YF8" s="501"/>
      <c r="YG8" s="501"/>
      <c r="YH8" s="501"/>
      <c r="YI8" s="501"/>
      <c r="YJ8" s="501"/>
      <c r="YK8" s="501"/>
      <c r="YL8" s="501"/>
      <c r="YM8" s="501"/>
      <c r="YN8" s="501"/>
      <c r="YO8" s="501"/>
      <c r="YP8" s="501"/>
      <c r="YQ8" s="501"/>
      <c r="YR8" s="501"/>
      <c r="YS8" s="501"/>
      <c r="YT8" s="501"/>
      <c r="YU8" s="501"/>
      <c r="YV8" s="501"/>
      <c r="YW8" s="501"/>
      <c r="YX8" s="501"/>
      <c r="YY8" s="501"/>
      <c r="YZ8" s="501"/>
      <c r="ZA8" s="501"/>
      <c r="ZB8" s="501"/>
      <c r="ZC8" s="501"/>
      <c r="ZD8" s="501"/>
      <c r="ZE8" s="501"/>
      <c r="ZF8" s="501"/>
      <c r="ZG8" s="501"/>
      <c r="ZH8" s="501"/>
      <c r="ZI8" s="501"/>
      <c r="ZJ8" s="501"/>
      <c r="ZK8" s="501"/>
      <c r="ZL8" s="501"/>
      <c r="ZM8" s="501"/>
      <c r="ZN8" s="501"/>
      <c r="ZO8" s="501"/>
      <c r="ZP8" s="501"/>
      <c r="ZQ8" s="501"/>
      <c r="ZR8" s="501"/>
      <c r="ZS8" s="501"/>
      <c r="ZT8" s="501"/>
      <c r="ZU8" s="501"/>
      <c r="ZV8" s="501"/>
      <c r="ZW8" s="501"/>
      <c r="ZX8" s="501"/>
      <c r="ZY8" s="501"/>
      <c r="ZZ8" s="501"/>
      <c r="AAA8" s="501"/>
      <c r="AAB8" s="501"/>
      <c r="AAC8" s="501"/>
      <c r="AAD8" s="501"/>
      <c r="AAE8" s="501"/>
      <c r="AAF8" s="501"/>
      <c r="AAG8" s="501"/>
      <c r="AAH8" s="501"/>
      <c r="AAI8" s="501"/>
      <c r="AAJ8" s="501"/>
      <c r="AAK8" s="501"/>
      <c r="AAL8" s="501"/>
      <c r="AAM8" s="501"/>
      <c r="AAN8" s="501"/>
      <c r="AAO8" s="501"/>
      <c r="AAP8" s="501"/>
      <c r="AAQ8" s="501"/>
      <c r="AAR8" s="501"/>
      <c r="AAS8" s="501"/>
      <c r="AAT8" s="501"/>
      <c r="AAU8" s="501"/>
      <c r="AAV8" s="501"/>
      <c r="AAW8" s="501"/>
      <c r="AAX8" s="501"/>
      <c r="AAY8" s="501"/>
      <c r="AAZ8" s="501"/>
      <c r="ABA8" s="501"/>
      <c r="ABB8" s="501"/>
      <c r="ABC8" s="501"/>
      <c r="ABD8" s="501"/>
      <c r="ABE8" s="501"/>
      <c r="ABF8" s="501"/>
      <c r="ABG8" s="501"/>
      <c r="ABH8" s="501"/>
      <c r="ABI8" s="501"/>
      <c r="ABJ8" s="501"/>
      <c r="ABK8" s="501"/>
      <c r="ABL8" s="501"/>
      <c r="ABM8" s="501"/>
      <c r="ABN8" s="501"/>
      <c r="ABO8" s="501"/>
      <c r="ABP8" s="501"/>
      <c r="ABQ8" s="501"/>
      <c r="ABR8" s="501"/>
      <c r="ABS8" s="501"/>
      <c r="ABT8" s="501"/>
      <c r="ABU8" s="501"/>
      <c r="ABV8" s="501"/>
      <c r="ABW8" s="501"/>
      <c r="ABX8" s="501"/>
      <c r="ABY8" s="501"/>
      <c r="ABZ8" s="501"/>
      <c r="ACA8" s="501"/>
      <c r="ACB8" s="501"/>
      <c r="ACC8" s="501"/>
      <c r="ACD8" s="501"/>
      <c r="ACE8" s="501"/>
      <c r="ACF8" s="501"/>
      <c r="ACG8" s="501"/>
      <c r="ACH8" s="501"/>
      <c r="ACI8" s="501"/>
      <c r="ACJ8" s="501"/>
      <c r="ACK8" s="501"/>
      <c r="ACL8" s="501"/>
      <c r="ACM8" s="501"/>
      <c r="ACN8" s="501"/>
      <c r="ACO8" s="501"/>
      <c r="ACP8" s="501"/>
      <c r="ACQ8" s="501"/>
      <c r="ACR8" s="501"/>
      <c r="ACS8" s="501"/>
      <c r="ACT8" s="501"/>
      <c r="ACU8" s="501"/>
      <c r="ACV8" s="501"/>
      <c r="ACW8" s="501"/>
      <c r="ACX8" s="501"/>
      <c r="ACY8" s="501"/>
      <c r="ACZ8" s="501"/>
      <c r="ADA8" s="501"/>
      <c r="ADB8" s="501"/>
      <c r="ADC8" s="501"/>
      <c r="ADD8" s="501"/>
      <c r="ADE8" s="501"/>
      <c r="ADF8" s="501"/>
      <c r="ADG8" s="501"/>
      <c r="ADH8" s="501"/>
      <c r="ADI8" s="501"/>
      <c r="ADJ8" s="501"/>
      <c r="ADK8" s="501"/>
      <c r="ADL8" s="501"/>
      <c r="ADM8" s="501"/>
      <c r="ADN8" s="501"/>
      <c r="ADO8" s="501"/>
      <c r="ADP8" s="501"/>
      <c r="ADQ8" s="501"/>
      <c r="ADR8" s="501"/>
      <c r="ADS8" s="501"/>
      <c r="ADT8" s="501"/>
      <c r="ADU8" s="501"/>
      <c r="ADV8" s="501"/>
      <c r="ADW8" s="501"/>
      <c r="ADX8" s="501"/>
      <c r="ADY8" s="501"/>
      <c r="ADZ8" s="501"/>
      <c r="AEA8" s="501"/>
      <c r="AEB8" s="501"/>
      <c r="AEC8" s="501"/>
      <c r="AED8" s="501"/>
      <c r="AEE8" s="501"/>
      <c r="AEF8" s="501"/>
      <c r="AEG8" s="501"/>
      <c r="AEH8" s="501"/>
      <c r="AEI8" s="501"/>
      <c r="AEJ8" s="501"/>
      <c r="AEK8" s="501"/>
      <c r="AEL8" s="501"/>
      <c r="AEM8" s="501"/>
      <c r="AEN8" s="501"/>
      <c r="AEO8" s="501"/>
      <c r="AEP8" s="501"/>
      <c r="AEQ8" s="501"/>
      <c r="AER8" s="501"/>
      <c r="AES8" s="501"/>
      <c r="AET8" s="501"/>
      <c r="AEU8" s="501"/>
      <c r="AEV8" s="501"/>
      <c r="AEW8" s="501"/>
      <c r="AEX8" s="501"/>
      <c r="AEY8" s="501"/>
      <c r="AEZ8" s="501"/>
      <c r="AFA8" s="501"/>
      <c r="AFB8" s="501"/>
      <c r="AFC8" s="501"/>
      <c r="AFD8" s="501"/>
      <c r="AFE8" s="501"/>
      <c r="AFF8" s="501"/>
      <c r="AFG8" s="501"/>
      <c r="AFH8" s="501"/>
      <c r="AFI8" s="501"/>
      <c r="AFJ8" s="501"/>
      <c r="AFK8" s="501"/>
      <c r="AFL8" s="501"/>
      <c r="AFM8" s="501"/>
      <c r="AFN8" s="501"/>
      <c r="AFO8" s="501"/>
      <c r="AFP8" s="501"/>
      <c r="AFQ8" s="501"/>
      <c r="AFR8" s="501"/>
      <c r="AFS8" s="501"/>
      <c r="AFT8" s="501"/>
      <c r="AFU8" s="501"/>
      <c r="AFV8" s="501"/>
      <c r="AFW8" s="501"/>
      <c r="AFX8" s="501"/>
      <c r="AFY8" s="501"/>
      <c r="AFZ8" s="501"/>
      <c r="AGA8" s="501"/>
      <c r="AGB8" s="501"/>
      <c r="AGC8" s="501"/>
      <c r="AGD8" s="501"/>
      <c r="AGE8" s="501"/>
      <c r="AGF8" s="501"/>
      <c r="AGG8" s="501"/>
      <c r="AGH8" s="501"/>
      <c r="AGI8" s="501"/>
      <c r="AGJ8" s="501"/>
      <c r="AGK8" s="501"/>
      <c r="AGL8" s="501"/>
      <c r="AGM8" s="501"/>
      <c r="AGN8" s="501"/>
      <c r="AGO8" s="501"/>
      <c r="AGP8" s="501"/>
      <c r="AGQ8" s="501"/>
      <c r="AGR8" s="501"/>
      <c r="AGS8" s="501"/>
      <c r="AGT8" s="501"/>
      <c r="AGU8" s="501"/>
      <c r="AGV8" s="501"/>
      <c r="AGW8" s="501"/>
      <c r="AGX8" s="501"/>
      <c r="AGY8" s="501"/>
      <c r="AGZ8" s="501"/>
      <c r="AHA8" s="501"/>
      <c r="AHB8" s="501"/>
      <c r="AHC8" s="501"/>
      <c r="AHD8" s="501"/>
      <c r="AHE8" s="501"/>
      <c r="AHF8" s="501"/>
      <c r="AHG8" s="501"/>
      <c r="AHH8" s="501"/>
      <c r="AHI8" s="501"/>
      <c r="AHJ8" s="501"/>
      <c r="AHK8" s="501"/>
      <c r="AHL8" s="501"/>
      <c r="AHM8" s="501"/>
      <c r="AHN8" s="501"/>
      <c r="AHO8" s="501"/>
      <c r="AHP8" s="501"/>
      <c r="AHQ8" s="501"/>
      <c r="AHR8" s="501"/>
      <c r="AHS8" s="501"/>
      <c r="AHT8" s="501"/>
      <c r="AHU8" s="501"/>
      <c r="AHV8" s="501"/>
      <c r="AHW8" s="501"/>
      <c r="AHX8" s="501"/>
      <c r="AHY8" s="501"/>
      <c r="AHZ8" s="501"/>
      <c r="AIA8" s="501"/>
      <c r="AIB8" s="501"/>
      <c r="AIC8" s="501"/>
      <c r="AID8" s="501"/>
      <c r="AIE8" s="501"/>
      <c r="AIF8" s="501"/>
      <c r="AIG8" s="501"/>
      <c r="AIH8" s="501"/>
      <c r="AII8" s="501"/>
      <c r="AIJ8" s="501"/>
      <c r="AIK8" s="501"/>
      <c r="AIL8" s="501"/>
      <c r="AIM8" s="501"/>
      <c r="AIN8" s="501"/>
      <c r="AIO8" s="501"/>
      <c r="AIP8" s="501"/>
      <c r="AIQ8" s="501"/>
      <c r="AIR8" s="501"/>
      <c r="AIS8" s="501"/>
      <c r="AIT8" s="501"/>
      <c r="AIU8" s="501"/>
      <c r="AIV8" s="501"/>
      <c r="AIW8" s="501"/>
      <c r="AIX8" s="501"/>
      <c r="AIY8" s="501"/>
      <c r="AIZ8" s="501"/>
      <c r="AJA8" s="501"/>
      <c r="AJB8" s="501"/>
      <c r="AJC8" s="501"/>
      <c r="AJD8" s="501"/>
      <c r="AJE8" s="501"/>
      <c r="AJF8" s="501"/>
      <c r="AJG8" s="501"/>
      <c r="AJH8" s="501"/>
      <c r="AJI8" s="501"/>
      <c r="AJJ8" s="501"/>
      <c r="AJK8" s="501"/>
      <c r="AJL8" s="501"/>
      <c r="AJM8" s="501"/>
      <c r="AJN8" s="501"/>
      <c r="AJO8" s="501"/>
      <c r="AJP8" s="501"/>
      <c r="AJQ8" s="501"/>
      <c r="AJR8" s="501"/>
      <c r="AJS8" s="501"/>
      <c r="AJT8" s="501"/>
      <c r="AJU8" s="501"/>
      <c r="AJV8" s="501"/>
      <c r="AJW8" s="501"/>
      <c r="AJX8" s="501"/>
      <c r="AJY8" s="501"/>
      <c r="AJZ8" s="501"/>
      <c r="AKA8" s="501"/>
      <c r="AKB8" s="501"/>
      <c r="AKC8" s="501"/>
      <c r="AKD8" s="501"/>
      <c r="AKE8" s="501"/>
      <c r="AKF8" s="501"/>
      <c r="AKG8" s="501"/>
      <c r="AKH8" s="501"/>
      <c r="AKI8" s="501"/>
      <c r="AKJ8" s="501"/>
      <c r="AKK8" s="501"/>
      <c r="AKL8" s="501"/>
      <c r="AKM8" s="501"/>
      <c r="AKN8" s="501"/>
      <c r="AKO8" s="501"/>
      <c r="AKP8" s="501"/>
      <c r="AKQ8" s="501"/>
      <c r="AKR8" s="501"/>
      <c r="AKS8" s="501"/>
      <c r="AKT8" s="501"/>
      <c r="AKU8" s="501"/>
      <c r="AKV8" s="501"/>
      <c r="AKW8" s="501"/>
      <c r="AKX8" s="501"/>
      <c r="AKY8" s="501"/>
      <c r="AKZ8" s="501"/>
      <c r="ALA8" s="501"/>
      <c r="ALB8" s="501"/>
      <c r="ALC8" s="501"/>
      <c r="ALD8" s="501"/>
      <c r="ALE8" s="501"/>
      <c r="ALF8" s="501"/>
      <c r="ALG8" s="501"/>
      <c r="ALH8" s="501"/>
      <c r="ALI8" s="501"/>
      <c r="ALJ8" s="501"/>
      <c r="ALK8" s="501"/>
      <c r="ALL8" s="501"/>
      <c r="ALM8" s="501"/>
      <c r="ALN8" s="501"/>
      <c r="ALO8" s="501"/>
      <c r="ALP8" s="501"/>
      <c r="ALQ8" s="501"/>
      <c r="ALR8" s="501"/>
      <c r="ALS8" s="501"/>
      <c r="ALT8" s="501"/>
      <c r="ALU8" s="501"/>
      <c r="ALV8" s="501"/>
      <c r="ALW8" s="501"/>
      <c r="ALX8" s="501"/>
      <c r="ALY8" s="501"/>
      <c r="ALZ8" s="501"/>
      <c r="AMA8" s="501"/>
      <c r="AMB8" s="501"/>
      <c r="AMC8" s="501"/>
      <c r="AMD8" s="501"/>
      <c r="AME8" s="501"/>
      <c r="AMF8" s="501"/>
      <c r="AMG8" s="501"/>
      <c r="AMH8" s="501"/>
      <c r="AMI8" s="501"/>
      <c r="AMJ8" s="501"/>
      <c r="AMK8" s="501"/>
      <c r="AML8" s="501"/>
      <c r="AMM8" s="501"/>
      <c r="AMN8" s="501"/>
      <c r="AMO8" s="501"/>
      <c r="AMP8" s="501"/>
      <c r="AMQ8" s="501"/>
      <c r="AMR8" s="501"/>
      <c r="AMS8" s="501"/>
      <c r="AMT8" s="501"/>
      <c r="AMU8" s="501"/>
      <c r="AMV8" s="501"/>
      <c r="AMW8" s="501"/>
      <c r="AMX8" s="501"/>
      <c r="AMY8" s="501"/>
      <c r="AMZ8" s="501"/>
      <c r="ANA8" s="501"/>
      <c r="ANB8" s="501"/>
      <c r="ANC8" s="501"/>
      <c r="AND8" s="501"/>
      <c r="ANE8" s="501"/>
      <c r="ANF8" s="501"/>
      <c r="ANG8" s="501"/>
      <c r="ANH8" s="501"/>
      <c r="ANI8" s="501"/>
      <c r="ANJ8" s="501"/>
      <c r="ANK8" s="501"/>
      <c r="ANL8" s="501"/>
      <c r="ANM8" s="501"/>
      <c r="ANN8" s="501"/>
      <c r="ANO8" s="501"/>
      <c r="ANP8" s="501"/>
      <c r="ANQ8" s="501"/>
      <c r="ANR8" s="501"/>
      <c r="ANS8" s="501"/>
      <c r="ANT8" s="501"/>
      <c r="ANU8" s="501"/>
      <c r="ANV8" s="501"/>
      <c r="ANW8" s="501"/>
      <c r="ANX8" s="501"/>
      <c r="ANY8" s="501"/>
      <c r="ANZ8" s="501"/>
      <c r="AOA8" s="501"/>
      <c r="AOB8" s="501"/>
      <c r="AOC8" s="501"/>
      <c r="AOD8" s="501"/>
      <c r="AOE8" s="501"/>
      <c r="AOF8" s="501"/>
      <c r="AOG8" s="501"/>
      <c r="AOH8" s="501"/>
      <c r="AOI8" s="501"/>
      <c r="AOJ8" s="501"/>
      <c r="AOK8" s="501"/>
      <c r="AOL8" s="501"/>
      <c r="AOM8" s="501"/>
      <c r="AON8" s="501"/>
      <c r="AOO8" s="501"/>
      <c r="AOP8" s="501"/>
      <c r="AOQ8" s="501"/>
      <c r="AOR8" s="501"/>
      <c r="AOS8" s="501"/>
      <c r="AOT8" s="501"/>
      <c r="AOU8" s="501"/>
      <c r="AOV8" s="501"/>
      <c r="AOW8" s="501"/>
      <c r="AOX8" s="501"/>
      <c r="AOY8" s="501"/>
      <c r="AOZ8" s="501"/>
      <c r="APA8" s="501"/>
      <c r="APB8" s="501"/>
      <c r="APC8" s="501"/>
      <c r="APD8" s="501"/>
      <c r="APE8" s="501"/>
      <c r="APF8" s="501"/>
      <c r="APG8" s="501"/>
      <c r="APH8" s="501"/>
      <c r="API8" s="501"/>
      <c r="APJ8" s="501"/>
      <c r="APK8" s="501"/>
      <c r="APL8" s="501"/>
      <c r="APM8" s="501"/>
      <c r="APN8" s="501"/>
      <c r="APO8" s="501"/>
      <c r="APP8" s="501"/>
      <c r="APQ8" s="501"/>
      <c r="APR8" s="501"/>
      <c r="APS8" s="501"/>
      <c r="APT8" s="501"/>
      <c r="APU8" s="501"/>
      <c r="APV8" s="501"/>
      <c r="APW8" s="501"/>
      <c r="APX8" s="501"/>
      <c r="APY8" s="501"/>
      <c r="APZ8" s="501"/>
      <c r="AQA8" s="501"/>
      <c r="AQB8" s="501"/>
      <c r="AQC8" s="501"/>
      <c r="AQD8" s="501"/>
      <c r="AQE8" s="501"/>
      <c r="AQF8" s="501"/>
      <c r="AQG8" s="501"/>
      <c r="AQH8" s="501"/>
      <c r="AQI8" s="501"/>
      <c r="AQJ8" s="501"/>
      <c r="AQK8" s="501"/>
      <c r="AQL8" s="501"/>
      <c r="AQM8" s="501"/>
      <c r="AQN8" s="501"/>
      <c r="AQO8" s="501"/>
      <c r="AQP8" s="501"/>
      <c r="AQQ8" s="501"/>
      <c r="AQR8" s="501"/>
      <c r="AQS8" s="501"/>
      <c r="AQT8" s="501"/>
      <c r="AQU8" s="501"/>
      <c r="AQV8" s="501"/>
      <c r="AQW8" s="501"/>
      <c r="AQX8" s="501"/>
      <c r="AQY8" s="501"/>
      <c r="AQZ8" s="501"/>
      <c r="ARA8" s="501"/>
      <c r="ARB8" s="501"/>
      <c r="ARC8" s="501"/>
      <c r="ARD8" s="501"/>
      <c r="ARE8" s="501"/>
      <c r="ARF8" s="501"/>
      <c r="ARG8" s="501"/>
      <c r="ARH8" s="501"/>
      <c r="ARI8" s="501"/>
      <c r="ARJ8" s="501"/>
      <c r="ARK8" s="501"/>
      <c r="ARL8" s="501"/>
      <c r="ARM8" s="501"/>
      <c r="ARN8" s="501"/>
      <c r="ARO8" s="501"/>
      <c r="ARP8" s="501"/>
      <c r="ARQ8" s="501"/>
      <c r="ARR8" s="501"/>
      <c r="ARS8" s="501"/>
      <c r="ART8" s="501"/>
      <c r="ARU8" s="501"/>
      <c r="ARV8" s="501"/>
      <c r="ARW8" s="501"/>
      <c r="ARX8" s="501"/>
      <c r="ARY8" s="501"/>
      <c r="ARZ8" s="501"/>
      <c r="ASA8" s="501"/>
      <c r="ASB8" s="501"/>
      <c r="ASC8" s="501"/>
      <c r="ASD8" s="501"/>
      <c r="ASE8" s="501"/>
      <c r="ASF8" s="501"/>
      <c r="ASG8" s="501"/>
      <c r="ASH8" s="501"/>
      <c r="ASI8" s="501"/>
      <c r="ASJ8" s="501"/>
      <c r="ASK8" s="501"/>
      <c r="ASL8" s="501"/>
      <c r="ASM8" s="501"/>
      <c r="ASN8" s="501"/>
      <c r="ASO8" s="501"/>
      <c r="ASP8" s="501"/>
      <c r="ASQ8" s="501"/>
      <c r="ASR8" s="501"/>
      <c r="ASS8" s="501"/>
      <c r="AST8" s="501"/>
      <c r="ASU8" s="501"/>
      <c r="ASV8" s="501"/>
      <c r="ASW8" s="501"/>
      <c r="ASX8" s="501"/>
      <c r="ASY8" s="501"/>
      <c r="ASZ8" s="501"/>
      <c r="ATA8" s="501"/>
      <c r="ATB8" s="501"/>
      <c r="ATC8" s="501"/>
      <c r="ATD8" s="501"/>
      <c r="ATE8" s="501"/>
      <c r="ATF8" s="501"/>
      <c r="ATG8" s="501"/>
      <c r="ATH8" s="501"/>
      <c r="ATI8" s="501"/>
      <c r="ATJ8" s="501"/>
      <c r="ATK8" s="501"/>
      <c r="ATL8" s="501"/>
      <c r="ATM8" s="501"/>
      <c r="ATN8" s="501"/>
      <c r="ATO8" s="501"/>
      <c r="ATP8" s="501"/>
      <c r="ATQ8" s="501"/>
      <c r="ATR8" s="501"/>
      <c r="ATS8" s="501"/>
      <c r="ATT8" s="501"/>
      <c r="ATU8" s="501"/>
      <c r="ATV8" s="501"/>
      <c r="ATW8" s="501"/>
      <c r="ATX8" s="501"/>
      <c r="ATY8" s="501"/>
      <c r="ATZ8" s="501"/>
      <c r="AUA8" s="501"/>
      <c r="AUB8" s="501"/>
      <c r="AUC8" s="501"/>
      <c r="AUD8" s="501"/>
      <c r="AUE8" s="501"/>
      <c r="AUF8" s="501"/>
      <c r="AUG8" s="501"/>
      <c r="AUH8" s="501"/>
      <c r="AUI8" s="501"/>
      <c r="AUJ8" s="501"/>
      <c r="AUK8" s="501"/>
      <c r="AUL8" s="501"/>
      <c r="AUM8" s="501"/>
      <c r="AUN8" s="501"/>
      <c r="AUO8" s="501"/>
      <c r="AUP8" s="501"/>
      <c r="AUQ8" s="501"/>
      <c r="AUR8" s="501"/>
      <c r="AUS8" s="501"/>
      <c r="AUT8" s="501"/>
      <c r="AUU8" s="501"/>
      <c r="AUV8" s="501"/>
      <c r="AUW8" s="501"/>
      <c r="AUX8" s="501"/>
      <c r="AUY8" s="501"/>
      <c r="AUZ8" s="501"/>
      <c r="AVA8" s="501"/>
      <c r="AVB8" s="501"/>
      <c r="AVC8" s="501"/>
      <c r="AVD8" s="501"/>
      <c r="AVE8" s="501"/>
      <c r="AVF8" s="501"/>
      <c r="AVG8" s="501"/>
      <c r="AVH8" s="501"/>
      <c r="AVI8" s="501"/>
      <c r="AVJ8" s="501"/>
      <c r="AVK8" s="501"/>
      <c r="AVL8" s="501"/>
      <c r="AVM8" s="501"/>
      <c r="AVN8" s="501"/>
      <c r="AVO8" s="501"/>
      <c r="AVP8" s="501"/>
      <c r="AVQ8" s="501"/>
      <c r="AVR8" s="501"/>
      <c r="AVS8" s="501"/>
      <c r="AVT8" s="501"/>
      <c r="AVU8" s="501"/>
      <c r="AVV8" s="501"/>
      <c r="AVW8" s="501"/>
      <c r="AVX8" s="501"/>
      <c r="AVY8" s="501"/>
      <c r="AVZ8" s="501"/>
      <c r="AWA8" s="501"/>
      <c r="AWB8" s="501"/>
      <c r="AWC8" s="501"/>
      <c r="AWD8" s="501"/>
      <c r="AWE8" s="501"/>
      <c r="AWF8" s="501"/>
      <c r="AWG8" s="501"/>
      <c r="AWH8" s="501"/>
      <c r="AWI8" s="501"/>
      <c r="AWJ8" s="501"/>
      <c r="AWK8" s="501"/>
      <c r="AWL8" s="501"/>
      <c r="AWM8" s="501"/>
      <c r="AWN8" s="501"/>
      <c r="AWO8" s="501"/>
      <c r="AWP8" s="501"/>
      <c r="AWQ8" s="501"/>
      <c r="AWR8" s="501"/>
      <c r="AWS8" s="501"/>
      <c r="AWT8" s="501"/>
      <c r="AWU8" s="501"/>
      <c r="AWV8" s="501"/>
      <c r="AWW8" s="501"/>
      <c r="AWX8" s="501"/>
      <c r="AWY8" s="501"/>
      <c r="AWZ8" s="501"/>
      <c r="AXA8" s="501"/>
      <c r="AXB8" s="501"/>
      <c r="AXC8" s="501"/>
      <c r="AXD8" s="501"/>
      <c r="AXE8" s="501"/>
      <c r="AXF8" s="501"/>
      <c r="AXG8" s="501"/>
      <c r="AXH8" s="501"/>
      <c r="AXI8" s="501"/>
      <c r="AXJ8" s="501"/>
      <c r="AXK8" s="501"/>
      <c r="AXL8" s="501"/>
      <c r="AXM8" s="501"/>
      <c r="AXN8" s="501"/>
      <c r="AXO8" s="501"/>
      <c r="AXP8" s="501"/>
      <c r="AXQ8" s="501"/>
      <c r="AXR8" s="501"/>
      <c r="AXS8" s="501"/>
      <c r="AXT8" s="501"/>
      <c r="AXU8" s="501"/>
      <c r="AXV8" s="501"/>
      <c r="AXW8" s="501"/>
      <c r="AXX8" s="501"/>
      <c r="AXY8" s="501"/>
      <c r="AXZ8" s="501"/>
      <c r="AYA8" s="501"/>
      <c r="AYB8" s="501"/>
      <c r="AYC8" s="501"/>
      <c r="AYD8" s="501"/>
      <c r="AYE8" s="501"/>
      <c r="AYF8" s="501"/>
      <c r="AYG8" s="501"/>
      <c r="AYH8" s="501"/>
      <c r="AYI8" s="501"/>
      <c r="AYJ8" s="501"/>
      <c r="AYK8" s="501"/>
      <c r="AYL8" s="501"/>
      <c r="AYM8" s="501"/>
      <c r="AYN8" s="501"/>
      <c r="AYO8" s="501"/>
      <c r="AYP8" s="501"/>
      <c r="AYQ8" s="501"/>
      <c r="AYR8" s="501"/>
      <c r="AYS8" s="501"/>
      <c r="AYT8" s="501"/>
      <c r="AYU8" s="501"/>
      <c r="AYV8" s="501"/>
      <c r="AYW8" s="501"/>
      <c r="AYX8" s="501"/>
      <c r="AYY8" s="501"/>
      <c r="AYZ8" s="501"/>
      <c r="AZA8" s="501"/>
      <c r="AZB8" s="501"/>
      <c r="AZC8" s="501"/>
      <c r="AZD8" s="501"/>
      <c r="AZE8" s="501"/>
      <c r="AZF8" s="501"/>
      <c r="AZG8" s="501"/>
      <c r="AZH8" s="501"/>
      <c r="AZI8" s="501"/>
      <c r="AZJ8" s="501"/>
      <c r="AZK8" s="501"/>
      <c r="AZL8" s="501"/>
      <c r="AZM8" s="501"/>
      <c r="AZN8" s="501"/>
      <c r="AZO8" s="501"/>
      <c r="AZP8" s="501"/>
      <c r="AZQ8" s="501"/>
      <c r="AZR8" s="501"/>
      <c r="AZS8" s="501"/>
      <c r="AZT8" s="501"/>
      <c r="AZU8" s="501"/>
      <c r="AZV8" s="501"/>
      <c r="AZW8" s="501"/>
      <c r="AZX8" s="501"/>
      <c r="AZY8" s="501"/>
      <c r="AZZ8" s="501"/>
      <c r="BAA8" s="501"/>
      <c r="BAB8" s="501"/>
      <c r="BAC8" s="501"/>
      <c r="BAD8" s="501"/>
      <c r="BAE8" s="501"/>
      <c r="BAF8" s="501"/>
      <c r="BAG8" s="501"/>
      <c r="BAH8" s="501"/>
      <c r="BAI8" s="501"/>
      <c r="BAJ8" s="501"/>
      <c r="BAK8" s="501"/>
      <c r="BAL8" s="501"/>
      <c r="BAM8" s="501"/>
      <c r="BAN8" s="501"/>
      <c r="BAO8" s="501"/>
      <c r="BAP8" s="501"/>
      <c r="BAQ8" s="501"/>
      <c r="BAR8" s="501"/>
      <c r="BAS8" s="501"/>
      <c r="BAT8" s="501"/>
      <c r="BAU8" s="501"/>
      <c r="BAV8" s="501"/>
      <c r="BAW8" s="501"/>
      <c r="BAX8" s="501"/>
      <c r="BAY8" s="501"/>
      <c r="BAZ8" s="501"/>
      <c r="BBA8" s="501"/>
      <c r="BBB8" s="501"/>
      <c r="BBC8" s="501"/>
      <c r="BBD8" s="501"/>
      <c r="BBE8" s="501"/>
      <c r="BBF8" s="501"/>
      <c r="BBG8" s="501"/>
      <c r="BBH8" s="501"/>
      <c r="BBI8" s="501"/>
      <c r="BBJ8" s="501"/>
      <c r="BBK8" s="501"/>
      <c r="BBL8" s="501"/>
      <c r="BBM8" s="501"/>
      <c r="BBN8" s="501"/>
      <c r="BBO8" s="501"/>
      <c r="BBP8" s="501"/>
      <c r="BBQ8" s="501"/>
      <c r="BBR8" s="501"/>
      <c r="BBS8" s="501"/>
      <c r="BBT8" s="501"/>
      <c r="BBU8" s="501"/>
      <c r="BBV8" s="501"/>
      <c r="BBW8" s="501"/>
      <c r="BBX8" s="501"/>
      <c r="BBY8" s="501"/>
      <c r="BBZ8" s="501"/>
      <c r="BCA8" s="501"/>
      <c r="BCB8" s="501"/>
      <c r="BCC8" s="501"/>
      <c r="BCD8" s="501"/>
      <c r="BCE8" s="501"/>
      <c r="BCF8" s="501"/>
      <c r="BCG8" s="501"/>
      <c r="BCH8" s="501"/>
      <c r="BCI8" s="501"/>
      <c r="BCJ8" s="501"/>
      <c r="BCK8" s="501"/>
      <c r="BCL8" s="501"/>
      <c r="BCM8" s="501"/>
      <c r="BCN8" s="501"/>
      <c r="BCO8" s="501"/>
      <c r="BCP8" s="501"/>
      <c r="BCQ8" s="501"/>
      <c r="BCR8" s="501"/>
      <c r="BCS8" s="501"/>
      <c r="BCT8" s="501"/>
      <c r="BCU8" s="501"/>
      <c r="BCV8" s="501"/>
      <c r="BCW8" s="501"/>
      <c r="BCX8" s="501"/>
      <c r="BCY8" s="501"/>
      <c r="BCZ8" s="501"/>
      <c r="BDA8" s="501"/>
      <c r="BDB8" s="501"/>
      <c r="BDC8" s="501"/>
      <c r="BDD8" s="501"/>
      <c r="BDE8" s="501"/>
      <c r="BDF8" s="501"/>
      <c r="BDG8" s="501"/>
      <c r="BDH8" s="501"/>
      <c r="BDI8" s="501"/>
      <c r="BDJ8" s="501"/>
      <c r="BDK8" s="501"/>
      <c r="BDL8" s="501"/>
      <c r="BDM8" s="501"/>
      <c r="BDN8" s="501"/>
      <c r="BDO8" s="501"/>
      <c r="BDP8" s="501"/>
      <c r="BDQ8" s="501"/>
      <c r="BDR8" s="501"/>
      <c r="BDS8" s="501"/>
      <c r="BDT8" s="501"/>
      <c r="BDU8" s="501"/>
      <c r="BDV8" s="501"/>
      <c r="BDW8" s="501"/>
      <c r="BDX8" s="501"/>
      <c r="BDY8" s="501"/>
      <c r="BDZ8" s="501"/>
      <c r="BEA8" s="501"/>
      <c r="BEB8" s="501"/>
      <c r="BEC8" s="501"/>
      <c r="BED8" s="501"/>
      <c r="BEE8" s="501"/>
      <c r="BEF8" s="501"/>
      <c r="BEG8" s="501"/>
      <c r="BEH8" s="501"/>
      <c r="BEI8" s="501"/>
      <c r="BEJ8" s="501"/>
      <c r="BEK8" s="501"/>
      <c r="BEL8" s="501"/>
      <c r="BEM8" s="501"/>
      <c r="BEN8" s="501"/>
      <c r="BEO8" s="501"/>
      <c r="BEP8" s="501"/>
      <c r="BEQ8" s="501"/>
      <c r="BER8" s="501"/>
      <c r="BES8" s="501"/>
      <c r="BET8" s="501"/>
      <c r="BEU8" s="501"/>
      <c r="BEV8" s="501"/>
      <c r="BEW8" s="501"/>
      <c r="BEX8" s="501"/>
      <c r="BEY8" s="501"/>
      <c r="BEZ8" s="501"/>
      <c r="BFA8" s="501"/>
      <c r="BFB8" s="501"/>
      <c r="BFC8" s="501"/>
      <c r="BFD8" s="501"/>
      <c r="BFE8" s="501"/>
      <c r="BFF8" s="501"/>
      <c r="BFG8" s="501"/>
      <c r="BFH8" s="501"/>
      <c r="BFI8" s="501"/>
      <c r="BFJ8" s="501"/>
      <c r="BFK8" s="501"/>
      <c r="BFL8" s="501"/>
      <c r="BFM8" s="501"/>
      <c r="BFN8" s="501"/>
      <c r="BFO8" s="501"/>
      <c r="BFP8" s="501"/>
      <c r="BFQ8" s="501"/>
      <c r="BFR8" s="501"/>
      <c r="BFS8" s="501"/>
      <c r="BFT8" s="501"/>
      <c r="BFU8" s="501"/>
      <c r="BFV8" s="501"/>
      <c r="BFW8" s="501"/>
      <c r="BFX8" s="501"/>
      <c r="BFY8" s="501"/>
      <c r="BFZ8" s="501"/>
      <c r="BGA8" s="501"/>
      <c r="BGB8" s="501"/>
      <c r="BGC8" s="501"/>
      <c r="BGD8" s="501"/>
      <c r="BGE8" s="501"/>
      <c r="BGF8" s="501"/>
      <c r="BGG8" s="501"/>
      <c r="BGH8" s="501"/>
      <c r="BGI8" s="501"/>
      <c r="BGJ8" s="501"/>
      <c r="BGK8" s="501"/>
      <c r="BGL8" s="501"/>
      <c r="BGM8" s="501"/>
      <c r="BGN8" s="501"/>
      <c r="BGO8" s="501"/>
      <c r="BGP8" s="501"/>
      <c r="BGQ8" s="501"/>
      <c r="BGR8" s="501"/>
      <c r="BGS8" s="501"/>
      <c r="BGT8" s="501"/>
      <c r="BGU8" s="501"/>
      <c r="BGV8" s="501"/>
      <c r="BGW8" s="501"/>
      <c r="BGX8" s="501"/>
      <c r="BGY8" s="501"/>
      <c r="BGZ8" s="501"/>
      <c r="BHA8" s="501"/>
      <c r="BHB8" s="501"/>
      <c r="BHC8" s="501"/>
      <c r="BHD8" s="501"/>
      <c r="BHE8" s="501"/>
      <c r="BHF8" s="501"/>
      <c r="BHG8" s="501"/>
      <c r="BHH8" s="501"/>
      <c r="BHI8" s="501"/>
      <c r="BHJ8" s="501"/>
      <c r="BHK8" s="501"/>
      <c r="BHL8" s="501"/>
      <c r="BHM8" s="501"/>
      <c r="BHN8" s="501"/>
      <c r="BHO8" s="501"/>
      <c r="BHP8" s="501"/>
      <c r="BHQ8" s="501"/>
      <c r="BHR8" s="501"/>
      <c r="BHS8" s="501"/>
      <c r="BHT8" s="501"/>
      <c r="BHU8" s="501"/>
      <c r="BHV8" s="501"/>
      <c r="BHW8" s="501"/>
      <c r="BHX8" s="501"/>
      <c r="BHY8" s="501"/>
      <c r="BHZ8" s="501"/>
      <c r="BIA8" s="501"/>
      <c r="BIB8" s="501"/>
      <c r="BIC8" s="501"/>
      <c r="BID8" s="501"/>
      <c r="BIE8" s="501"/>
      <c r="BIF8" s="501"/>
      <c r="BIG8" s="501"/>
      <c r="BIH8" s="501"/>
      <c r="BII8" s="501"/>
      <c r="BIJ8" s="501"/>
      <c r="BIK8" s="501"/>
      <c r="BIL8" s="501"/>
      <c r="BIM8" s="501"/>
      <c r="BIN8" s="501"/>
      <c r="BIO8" s="501"/>
      <c r="BIP8" s="501"/>
      <c r="BIQ8" s="501"/>
      <c r="BIR8" s="501"/>
      <c r="BIS8" s="501"/>
      <c r="BIT8" s="501"/>
      <c r="BIU8" s="501"/>
      <c r="BIV8" s="501"/>
      <c r="BIW8" s="501"/>
      <c r="BIX8" s="501"/>
      <c r="BIY8" s="501"/>
      <c r="BIZ8" s="501"/>
      <c r="BJA8" s="501"/>
      <c r="BJB8" s="501"/>
      <c r="BJC8" s="501"/>
      <c r="BJD8" s="501"/>
      <c r="BJE8" s="501"/>
      <c r="BJF8" s="501"/>
      <c r="BJG8" s="501"/>
      <c r="BJH8" s="501"/>
      <c r="BJI8" s="501"/>
      <c r="BJJ8" s="501"/>
      <c r="BJK8" s="501"/>
      <c r="BJL8" s="501"/>
      <c r="BJM8" s="501"/>
      <c r="BJN8" s="501"/>
      <c r="BJO8" s="501"/>
      <c r="BJP8" s="501"/>
      <c r="BJQ8" s="501"/>
      <c r="BJR8" s="501"/>
      <c r="BJS8" s="501"/>
      <c r="BJT8" s="501"/>
      <c r="BJU8" s="501"/>
      <c r="BJV8" s="501"/>
      <c r="BJW8" s="501"/>
      <c r="BJX8" s="501"/>
      <c r="BJY8" s="501"/>
      <c r="BJZ8" s="501"/>
      <c r="BKA8" s="501"/>
      <c r="BKB8" s="501"/>
      <c r="BKC8" s="501"/>
      <c r="BKD8" s="501"/>
      <c r="BKE8" s="501"/>
      <c r="BKF8" s="501"/>
      <c r="BKG8" s="501"/>
      <c r="BKH8" s="501"/>
      <c r="BKI8" s="501"/>
      <c r="BKJ8" s="501"/>
      <c r="BKK8" s="501"/>
      <c r="BKL8" s="501"/>
      <c r="BKM8" s="501"/>
      <c r="BKN8" s="501"/>
      <c r="BKO8" s="501"/>
      <c r="BKP8" s="501"/>
      <c r="BKQ8" s="501"/>
      <c r="BKR8" s="501"/>
      <c r="BKS8" s="501"/>
      <c r="BKT8" s="501"/>
      <c r="BKU8" s="501"/>
      <c r="BKV8" s="501"/>
      <c r="BKW8" s="501"/>
      <c r="BKX8" s="501"/>
      <c r="BKY8" s="501"/>
      <c r="BKZ8" s="501"/>
      <c r="BLA8" s="501"/>
      <c r="BLB8" s="501"/>
      <c r="BLC8" s="501"/>
      <c r="BLD8" s="501"/>
      <c r="BLE8" s="501"/>
      <c r="BLF8" s="501"/>
      <c r="BLG8" s="501"/>
      <c r="BLH8" s="501"/>
      <c r="BLI8" s="501"/>
      <c r="BLJ8" s="501"/>
      <c r="BLK8" s="501"/>
      <c r="BLL8" s="501"/>
      <c r="BLM8" s="501"/>
      <c r="BLN8" s="501"/>
      <c r="BLO8" s="501"/>
      <c r="BLP8" s="501"/>
      <c r="BLQ8" s="501"/>
      <c r="BLR8" s="501"/>
      <c r="BLS8" s="501"/>
      <c r="BLT8" s="501"/>
      <c r="BLU8" s="501"/>
      <c r="BLV8" s="501"/>
      <c r="BLW8" s="501"/>
      <c r="BLX8" s="501"/>
      <c r="BLY8" s="501"/>
      <c r="BLZ8" s="501"/>
      <c r="BMA8" s="501"/>
      <c r="BMB8" s="501"/>
      <c r="BMC8" s="501"/>
      <c r="BMD8" s="501"/>
      <c r="BME8" s="501"/>
      <c r="BMF8" s="501"/>
      <c r="BMG8" s="501"/>
      <c r="BMH8" s="501"/>
      <c r="BMI8" s="501"/>
      <c r="BMJ8" s="501"/>
      <c r="BMK8" s="501"/>
      <c r="BML8" s="501"/>
      <c r="BMM8" s="501"/>
      <c r="BMN8" s="501"/>
      <c r="BMO8" s="501"/>
      <c r="BMP8" s="501"/>
      <c r="BMQ8" s="501"/>
      <c r="BMR8" s="501"/>
      <c r="BMS8" s="501"/>
      <c r="BMT8" s="501"/>
      <c r="BMU8" s="501"/>
      <c r="BMV8" s="501"/>
      <c r="BMW8" s="501"/>
      <c r="BMX8" s="501"/>
      <c r="BMY8" s="501"/>
      <c r="BMZ8" s="501"/>
      <c r="BNA8" s="501"/>
      <c r="BNB8" s="501"/>
      <c r="BNC8" s="501"/>
      <c r="BND8" s="501"/>
      <c r="BNE8" s="501"/>
      <c r="BNF8" s="501"/>
      <c r="BNG8" s="501"/>
      <c r="BNH8" s="501"/>
      <c r="BNI8" s="501"/>
      <c r="BNJ8" s="501"/>
      <c r="BNK8" s="501"/>
      <c r="BNL8" s="501"/>
      <c r="BNM8" s="501"/>
      <c r="BNN8" s="501"/>
      <c r="BNO8" s="501"/>
      <c r="BNP8" s="501"/>
      <c r="BNQ8" s="501"/>
      <c r="BNR8" s="501"/>
      <c r="BNS8" s="501"/>
      <c r="BNT8" s="501"/>
      <c r="BNU8" s="501"/>
      <c r="BNV8" s="501"/>
      <c r="BNW8" s="501"/>
      <c r="BNX8" s="501"/>
      <c r="BNY8" s="501"/>
      <c r="BNZ8" s="501"/>
      <c r="BOA8" s="501"/>
      <c r="BOB8" s="501"/>
      <c r="BOC8" s="501"/>
      <c r="BOD8" s="501"/>
      <c r="BOE8" s="501"/>
      <c r="BOF8" s="501"/>
      <c r="BOG8" s="501"/>
      <c r="BOH8" s="501"/>
      <c r="BOI8" s="501"/>
      <c r="BOJ8" s="501"/>
      <c r="BOK8" s="501"/>
      <c r="BOL8" s="501"/>
      <c r="BOM8" s="501"/>
      <c r="BON8" s="501"/>
      <c r="BOO8" s="501"/>
      <c r="BOP8" s="501"/>
      <c r="BOQ8" s="501"/>
      <c r="BOR8" s="501"/>
      <c r="BOS8" s="501"/>
      <c r="BOT8" s="501"/>
      <c r="BOU8" s="501"/>
      <c r="BOV8" s="501"/>
      <c r="BOW8" s="501"/>
      <c r="BOX8" s="501"/>
      <c r="BOY8" s="501"/>
      <c r="BOZ8" s="501"/>
      <c r="BPA8" s="501"/>
      <c r="BPB8" s="501"/>
      <c r="BPC8" s="501"/>
      <c r="BPD8" s="501"/>
      <c r="BPE8" s="501"/>
      <c r="BPF8" s="501"/>
      <c r="BPG8" s="501"/>
      <c r="BPH8" s="501"/>
      <c r="BPI8" s="501"/>
      <c r="BPJ8" s="501"/>
      <c r="BPK8" s="501"/>
      <c r="BPL8" s="501"/>
      <c r="BPM8" s="501"/>
      <c r="BPN8" s="501"/>
      <c r="BPO8" s="501"/>
      <c r="BPP8" s="501"/>
      <c r="BPQ8" s="501"/>
      <c r="BPR8" s="501"/>
      <c r="BPS8" s="501"/>
      <c r="BPT8" s="501"/>
      <c r="BPU8" s="501"/>
      <c r="BPV8" s="501"/>
      <c r="BPW8" s="501"/>
      <c r="BPX8" s="501"/>
      <c r="BPY8" s="501"/>
      <c r="BPZ8" s="501"/>
      <c r="BQA8" s="501"/>
      <c r="BQB8" s="501"/>
      <c r="BQC8" s="501"/>
      <c r="BQD8" s="501"/>
      <c r="BQE8" s="501"/>
      <c r="BQF8" s="501"/>
      <c r="BQG8" s="501"/>
      <c r="BQH8" s="501"/>
      <c r="BQI8" s="501"/>
      <c r="BQJ8" s="501"/>
      <c r="BQK8" s="501"/>
      <c r="BQL8" s="501"/>
      <c r="BQM8" s="501"/>
      <c r="BQN8" s="501"/>
      <c r="BQO8" s="501"/>
      <c r="BQP8" s="501"/>
      <c r="BQQ8" s="501"/>
      <c r="BQR8" s="501"/>
      <c r="BQS8" s="501"/>
      <c r="BQT8" s="501"/>
      <c r="BQU8" s="501"/>
      <c r="BQV8" s="501"/>
      <c r="BQW8" s="501"/>
      <c r="BQX8" s="501"/>
      <c r="BQY8" s="501"/>
      <c r="BQZ8" s="501"/>
      <c r="BRA8" s="501"/>
      <c r="BRB8" s="501"/>
      <c r="BRC8" s="501"/>
      <c r="BRD8" s="501"/>
      <c r="BRE8" s="501"/>
      <c r="BRF8" s="501"/>
      <c r="BRG8" s="501"/>
      <c r="BRH8" s="501"/>
      <c r="BRI8" s="501"/>
      <c r="BRJ8" s="501"/>
      <c r="BRK8" s="501"/>
      <c r="BRL8" s="501"/>
      <c r="BRM8" s="501"/>
      <c r="BRN8" s="501"/>
      <c r="BRO8" s="501"/>
      <c r="BRP8" s="501"/>
      <c r="BRQ8" s="501"/>
      <c r="BRR8" s="501"/>
      <c r="BRS8" s="501"/>
      <c r="BRT8" s="501"/>
      <c r="BRU8" s="501"/>
      <c r="BRV8" s="501"/>
      <c r="BRW8" s="501"/>
      <c r="BRX8" s="501"/>
      <c r="BRY8" s="501"/>
      <c r="BRZ8" s="501"/>
      <c r="BSA8" s="501"/>
      <c r="BSB8" s="501"/>
      <c r="BSC8" s="501"/>
    </row>
    <row r="9" spans="1:1849" s="502" customFormat="1" ht="15.75" customHeight="1" x14ac:dyDescent="0.2">
      <c r="A9" s="503">
        <v>8</v>
      </c>
      <c r="B9" s="504" t="s">
        <v>25</v>
      </c>
      <c r="C9" s="548" t="s">
        <v>407</v>
      </c>
      <c r="D9" s="504" t="s">
        <v>30</v>
      </c>
      <c r="E9" s="504" t="s">
        <v>27</v>
      </c>
      <c r="F9" s="504">
        <v>25</v>
      </c>
      <c r="G9" s="504">
        <v>20</v>
      </c>
      <c r="H9" s="504">
        <v>26</v>
      </c>
      <c r="I9" s="504">
        <v>20</v>
      </c>
      <c r="J9" s="504">
        <v>1</v>
      </c>
      <c r="K9" s="504">
        <f t="shared" si="0"/>
        <v>500</v>
      </c>
      <c r="L9" s="504" t="s">
        <v>28</v>
      </c>
      <c r="M9" s="511" t="s">
        <v>260</v>
      </c>
      <c r="N9" s="505">
        <v>21.14742</v>
      </c>
      <c r="O9" s="505">
        <v>79.056060000000002</v>
      </c>
      <c r="P9" s="506">
        <v>40000</v>
      </c>
      <c r="Q9" s="505">
        <v>45000</v>
      </c>
      <c r="R9" s="505">
        <v>70000</v>
      </c>
      <c r="S9" s="501"/>
      <c r="T9" s="501"/>
      <c r="U9" s="501"/>
      <c r="V9" s="501"/>
      <c r="W9" s="501"/>
      <c r="X9" s="501"/>
      <c r="Y9" s="501"/>
      <c r="Z9" s="501"/>
      <c r="AA9" s="501"/>
      <c r="AB9" s="501"/>
      <c r="AC9" s="501"/>
      <c r="AD9" s="501"/>
      <c r="AE9" s="501"/>
      <c r="AF9" s="501"/>
      <c r="AG9" s="501"/>
      <c r="AH9" s="501"/>
      <c r="AI9" s="501"/>
      <c r="AJ9" s="501"/>
      <c r="AK9" s="501"/>
      <c r="AL9" s="501"/>
      <c r="AM9" s="501"/>
      <c r="AN9" s="501"/>
      <c r="AO9" s="501"/>
      <c r="AP9" s="501"/>
      <c r="AQ9" s="501"/>
      <c r="AR9" s="501"/>
      <c r="AS9" s="501"/>
      <c r="AT9" s="501"/>
      <c r="AU9" s="501"/>
      <c r="AV9" s="501"/>
      <c r="AW9" s="501"/>
      <c r="AX9" s="501"/>
      <c r="AY9" s="501"/>
      <c r="AZ9" s="501"/>
      <c r="BA9" s="501"/>
      <c r="BB9" s="501"/>
      <c r="BC9" s="501"/>
      <c r="BD9" s="501"/>
      <c r="BE9" s="501"/>
      <c r="BF9" s="501"/>
      <c r="BG9" s="501"/>
      <c r="BH9" s="501"/>
      <c r="BI9" s="501"/>
      <c r="BJ9" s="501"/>
      <c r="BK9" s="501"/>
      <c r="BL9" s="501"/>
      <c r="BM9" s="501"/>
      <c r="BN9" s="501"/>
      <c r="BO9" s="501"/>
      <c r="BP9" s="501"/>
      <c r="BQ9" s="501"/>
      <c r="BR9" s="501"/>
      <c r="BS9" s="501"/>
      <c r="BT9" s="501"/>
      <c r="BU9" s="501"/>
      <c r="BV9" s="501"/>
      <c r="BW9" s="501"/>
      <c r="BX9" s="501"/>
      <c r="BY9" s="501"/>
      <c r="BZ9" s="501"/>
      <c r="CA9" s="501"/>
      <c r="CB9" s="501"/>
      <c r="CC9" s="501"/>
      <c r="CD9" s="501"/>
      <c r="CE9" s="501"/>
      <c r="CF9" s="501"/>
      <c r="CG9" s="501"/>
      <c r="CH9" s="501"/>
      <c r="CI9" s="501"/>
      <c r="CJ9" s="501"/>
      <c r="CK9" s="501"/>
      <c r="CL9" s="501"/>
      <c r="CM9" s="501"/>
      <c r="CN9" s="501"/>
      <c r="CO9" s="501"/>
      <c r="CP9" s="501"/>
      <c r="CQ9" s="501"/>
      <c r="CR9" s="501"/>
      <c r="CS9" s="501"/>
      <c r="CT9" s="501"/>
      <c r="CU9" s="501"/>
      <c r="CV9" s="501"/>
      <c r="CW9" s="501"/>
      <c r="CX9" s="501"/>
      <c r="CY9" s="501"/>
      <c r="CZ9" s="501"/>
      <c r="DA9" s="501"/>
      <c r="DB9" s="501"/>
      <c r="DC9" s="501"/>
      <c r="DD9" s="501"/>
      <c r="DE9" s="501"/>
      <c r="DF9" s="501"/>
      <c r="DG9" s="501"/>
      <c r="DH9" s="501"/>
      <c r="DI9" s="501"/>
      <c r="DJ9" s="501"/>
      <c r="DK9" s="501"/>
      <c r="DL9" s="501"/>
      <c r="DM9" s="501"/>
      <c r="DN9" s="501"/>
      <c r="DO9" s="501"/>
      <c r="DP9" s="501"/>
      <c r="DQ9" s="501"/>
      <c r="DR9" s="501"/>
      <c r="DS9" s="501"/>
      <c r="DT9" s="501"/>
      <c r="DU9" s="501"/>
      <c r="DV9" s="501"/>
      <c r="DW9" s="501"/>
      <c r="DX9" s="501"/>
      <c r="DY9" s="501"/>
      <c r="DZ9" s="501"/>
      <c r="EA9" s="501"/>
      <c r="EB9" s="501"/>
      <c r="EC9" s="501"/>
      <c r="ED9" s="501"/>
      <c r="EE9" s="501"/>
      <c r="EF9" s="501"/>
      <c r="EG9" s="501"/>
      <c r="EH9" s="501"/>
      <c r="EI9" s="501"/>
      <c r="EJ9" s="501"/>
      <c r="EK9" s="501"/>
      <c r="EL9" s="501"/>
      <c r="EM9" s="501"/>
      <c r="EN9" s="501"/>
      <c r="EO9" s="501"/>
      <c r="EP9" s="501"/>
      <c r="EQ9" s="501"/>
      <c r="ER9" s="501"/>
      <c r="ES9" s="501"/>
      <c r="ET9" s="501"/>
      <c r="EU9" s="501"/>
      <c r="EV9" s="501"/>
      <c r="EW9" s="501"/>
      <c r="EX9" s="501"/>
      <c r="EY9" s="501"/>
      <c r="EZ9" s="501"/>
      <c r="FA9" s="501"/>
      <c r="FB9" s="501"/>
      <c r="FC9" s="501"/>
      <c r="FD9" s="501"/>
      <c r="FE9" s="501"/>
      <c r="FF9" s="501"/>
      <c r="FG9" s="501"/>
      <c r="FH9" s="501"/>
      <c r="FI9" s="501"/>
      <c r="FJ9" s="501"/>
      <c r="FK9" s="501"/>
      <c r="FL9" s="501"/>
      <c r="FM9" s="501"/>
      <c r="FN9" s="501"/>
      <c r="FO9" s="501"/>
      <c r="FP9" s="501"/>
      <c r="FQ9" s="501"/>
      <c r="FR9" s="501"/>
      <c r="FS9" s="501"/>
      <c r="FT9" s="501"/>
      <c r="FU9" s="501"/>
      <c r="FV9" s="501"/>
      <c r="FW9" s="501"/>
      <c r="FX9" s="501"/>
      <c r="FY9" s="501"/>
      <c r="FZ9" s="501"/>
      <c r="GA9" s="501"/>
      <c r="GB9" s="501"/>
      <c r="GC9" s="501"/>
      <c r="GD9" s="501"/>
      <c r="GE9" s="501"/>
      <c r="GF9" s="501"/>
      <c r="GG9" s="501"/>
      <c r="GH9" s="501"/>
      <c r="GI9" s="501"/>
      <c r="GJ9" s="501"/>
      <c r="GK9" s="501"/>
      <c r="GL9" s="501"/>
      <c r="GM9" s="501"/>
      <c r="GN9" s="501"/>
      <c r="GO9" s="501"/>
      <c r="GP9" s="501"/>
      <c r="GQ9" s="501"/>
      <c r="GR9" s="501"/>
      <c r="GS9" s="501"/>
      <c r="GT9" s="501"/>
      <c r="GU9" s="501"/>
      <c r="GV9" s="501"/>
      <c r="GW9" s="501"/>
      <c r="GX9" s="501"/>
      <c r="GY9" s="501"/>
      <c r="GZ9" s="501"/>
      <c r="HA9" s="501"/>
      <c r="HB9" s="501"/>
      <c r="HC9" s="501"/>
      <c r="HD9" s="501"/>
      <c r="HE9" s="501"/>
      <c r="HF9" s="501"/>
      <c r="HG9" s="501"/>
      <c r="HH9" s="501"/>
      <c r="HI9" s="501"/>
      <c r="HJ9" s="501"/>
      <c r="HK9" s="501"/>
      <c r="HL9" s="501"/>
      <c r="HM9" s="501"/>
      <c r="HN9" s="501"/>
      <c r="HO9" s="501"/>
      <c r="HP9" s="501"/>
      <c r="HQ9" s="501"/>
      <c r="HR9" s="501"/>
      <c r="HS9" s="501"/>
      <c r="HT9" s="501"/>
      <c r="HU9" s="501"/>
      <c r="HV9" s="501"/>
      <c r="HW9" s="501"/>
      <c r="HX9" s="501"/>
      <c r="HY9" s="501"/>
      <c r="HZ9" s="501"/>
      <c r="IA9" s="501"/>
      <c r="IB9" s="501"/>
      <c r="IC9" s="501"/>
      <c r="ID9" s="501"/>
      <c r="IE9" s="501"/>
      <c r="IF9" s="501"/>
      <c r="IG9" s="501"/>
      <c r="IH9" s="501"/>
      <c r="II9" s="501"/>
      <c r="IJ9" s="501"/>
      <c r="IK9" s="501"/>
      <c r="IL9" s="501"/>
      <c r="IM9" s="501"/>
      <c r="IN9" s="501"/>
      <c r="IO9" s="501"/>
      <c r="IP9" s="501"/>
      <c r="IQ9" s="501"/>
      <c r="IR9" s="501"/>
      <c r="IS9" s="501"/>
      <c r="IT9" s="501"/>
      <c r="IU9" s="501"/>
      <c r="IV9" s="501"/>
      <c r="IW9" s="501"/>
      <c r="IX9" s="501"/>
      <c r="IY9" s="501"/>
      <c r="IZ9" s="501"/>
      <c r="JA9" s="501"/>
      <c r="JB9" s="501"/>
      <c r="JC9" s="501"/>
      <c r="JD9" s="501"/>
      <c r="JE9" s="501"/>
      <c r="JF9" s="501"/>
      <c r="JG9" s="501"/>
      <c r="JH9" s="501"/>
      <c r="JI9" s="501"/>
      <c r="JJ9" s="501"/>
      <c r="JK9" s="501"/>
      <c r="JL9" s="501"/>
      <c r="JM9" s="501"/>
      <c r="JN9" s="501"/>
      <c r="JO9" s="501"/>
      <c r="JP9" s="501"/>
      <c r="JQ9" s="501"/>
      <c r="JR9" s="501"/>
      <c r="JS9" s="501"/>
      <c r="JT9" s="501"/>
      <c r="JU9" s="501"/>
      <c r="JV9" s="501"/>
      <c r="JW9" s="501"/>
      <c r="JX9" s="501"/>
      <c r="JY9" s="501"/>
      <c r="JZ9" s="501"/>
      <c r="KA9" s="501"/>
      <c r="KB9" s="501"/>
      <c r="KC9" s="501"/>
      <c r="KD9" s="501"/>
      <c r="KE9" s="501"/>
      <c r="KF9" s="501"/>
      <c r="KG9" s="501"/>
      <c r="KH9" s="501"/>
      <c r="KI9" s="501"/>
      <c r="KJ9" s="501"/>
      <c r="KK9" s="501"/>
      <c r="KL9" s="501"/>
      <c r="KM9" s="501"/>
      <c r="KN9" s="501"/>
      <c r="KO9" s="501"/>
      <c r="KP9" s="501"/>
      <c r="KQ9" s="501"/>
      <c r="KR9" s="501"/>
      <c r="KS9" s="501"/>
      <c r="KT9" s="501"/>
      <c r="KU9" s="501"/>
      <c r="KV9" s="501"/>
      <c r="KW9" s="501"/>
      <c r="KX9" s="501"/>
      <c r="KY9" s="501"/>
      <c r="KZ9" s="501"/>
      <c r="LA9" s="501"/>
      <c r="LB9" s="501"/>
      <c r="LC9" s="501"/>
      <c r="LD9" s="501"/>
      <c r="LE9" s="501"/>
      <c r="LF9" s="501"/>
      <c r="LG9" s="501"/>
      <c r="LH9" s="501"/>
      <c r="LI9" s="501"/>
      <c r="LJ9" s="501"/>
      <c r="LK9" s="501"/>
      <c r="LL9" s="501"/>
      <c r="LM9" s="501"/>
      <c r="LN9" s="501"/>
      <c r="LO9" s="501"/>
      <c r="LP9" s="501"/>
      <c r="LQ9" s="501"/>
      <c r="LR9" s="501"/>
      <c r="LS9" s="501"/>
      <c r="LT9" s="501"/>
      <c r="LU9" s="501"/>
      <c r="LV9" s="501"/>
      <c r="LW9" s="501"/>
      <c r="LX9" s="501"/>
      <c r="LY9" s="501"/>
      <c r="LZ9" s="501"/>
      <c r="MA9" s="501"/>
      <c r="MB9" s="501"/>
      <c r="MC9" s="501"/>
      <c r="MD9" s="501"/>
      <c r="ME9" s="501"/>
      <c r="MF9" s="501"/>
      <c r="MG9" s="501"/>
      <c r="MH9" s="501"/>
      <c r="MI9" s="501"/>
      <c r="MJ9" s="501"/>
      <c r="MK9" s="501"/>
      <c r="ML9" s="501"/>
      <c r="MM9" s="501"/>
      <c r="MN9" s="501"/>
      <c r="MO9" s="501"/>
      <c r="MP9" s="501"/>
      <c r="MQ9" s="501"/>
      <c r="MR9" s="501"/>
      <c r="MS9" s="501"/>
      <c r="MT9" s="501"/>
      <c r="MU9" s="501"/>
      <c r="MV9" s="501"/>
      <c r="MW9" s="501"/>
      <c r="MX9" s="501"/>
      <c r="MY9" s="501"/>
      <c r="MZ9" s="501"/>
      <c r="NA9" s="501"/>
      <c r="NB9" s="501"/>
      <c r="NC9" s="501"/>
      <c r="ND9" s="501"/>
      <c r="NE9" s="501"/>
      <c r="NF9" s="501"/>
      <c r="NG9" s="501"/>
      <c r="NH9" s="501"/>
      <c r="NI9" s="501"/>
      <c r="NJ9" s="501"/>
      <c r="NK9" s="501"/>
      <c r="NL9" s="501"/>
      <c r="NM9" s="501"/>
      <c r="NN9" s="501"/>
      <c r="NO9" s="501"/>
      <c r="NP9" s="501"/>
      <c r="NQ9" s="501"/>
      <c r="NR9" s="501"/>
      <c r="NS9" s="501"/>
      <c r="NT9" s="501"/>
      <c r="NU9" s="501"/>
      <c r="NV9" s="501"/>
      <c r="NW9" s="501"/>
      <c r="NX9" s="501"/>
      <c r="NY9" s="501"/>
      <c r="NZ9" s="501"/>
      <c r="OA9" s="501"/>
      <c r="OB9" s="501"/>
      <c r="OC9" s="501"/>
      <c r="OD9" s="501"/>
      <c r="OE9" s="501"/>
      <c r="OF9" s="501"/>
      <c r="OG9" s="501"/>
      <c r="OH9" s="501"/>
      <c r="OI9" s="501"/>
      <c r="OJ9" s="501"/>
      <c r="OK9" s="501"/>
      <c r="OL9" s="501"/>
      <c r="OM9" s="501"/>
      <c r="ON9" s="501"/>
      <c r="OO9" s="501"/>
      <c r="OP9" s="501"/>
      <c r="OQ9" s="501"/>
      <c r="OR9" s="501"/>
      <c r="OS9" s="501"/>
      <c r="OT9" s="501"/>
      <c r="OU9" s="501"/>
      <c r="OV9" s="501"/>
      <c r="OW9" s="501"/>
      <c r="OX9" s="501"/>
      <c r="OY9" s="501"/>
      <c r="OZ9" s="501"/>
      <c r="PA9" s="501"/>
      <c r="PB9" s="501"/>
      <c r="PC9" s="501"/>
      <c r="PD9" s="501"/>
      <c r="PE9" s="501"/>
      <c r="PF9" s="501"/>
      <c r="PG9" s="501"/>
      <c r="PH9" s="501"/>
      <c r="PI9" s="501"/>
      <c r="PJ9" s="501"/>
      <c r="PK9" s="501"/>
      <c r="PL9" s="501"/>
      <c r="PM9" s="501"/>
      <c r="PN9" s="501"/>
      <c r="PO9" s="501"/>
      <c r="PP9" s="501"/>
      <c r="PQ9" s="501"/>
      <c r="PR9" s="501"/>
      <c r="PS9" s="501"/>
      <c r="PT9" s="501"/>
      <c r="PU9" s="501"/>
      <c r="PV9" s="501"/>
      <c r="PW9" s="501"/>
      <c r="PX9" s="501"/>
      <c r="PY9" s="501"/>
      <c r="PZ9" s="501"/>
      <c r="QA9" s="501"/>
      <c r="QB9" s="501"/>
      <c r="QC9" s="501"/>
      <c r="QD9" s="501"/>
      <c r="QE9" s="501"/>
      <c r="QF9" s="501"/>
      <c r="QG9" s="501"/>
      <c r="QH9" s="501"/>
      <c r="QI9" s="501"/>
      <c r="QJ9" s="501"/>
      <c r="QK9" s="501"/>
      <c r="QL9" s="501"/>
      <c r="QM9" s="501"/>
      <c r="QN9" s="501"/>
      <c r="QO9" s="501"/>
      <c r="QP9" s="501"/>
      <c r="QQ9" s="501"/>
      <c r="QR9" s="501"/>
      <c r="QS9" s="501"/>
      <c r="QT9" s="501"/>
      <c r="QU9" s="501"/>
      <c r="QV9" s="501"/>
      <c r="QW9" s="501"/>
      <c r="QX9" s="501"/>
      <c r="QY9" s="501"/>
      <c r="QZ9" s="501"/>
      <c r="RA9" s="501"/>
      <c r="RB9" s="501"/>
      <c r="RC9" s="501"/>
      <c r="RD9" s="501"/>
      <c r="RE9" s="501"/>
      <c r="RF9" s="501"/>
      <c r="RG9" s="501"/>
      <c r="RH9" s="501"/>
      <c r="RI9" s="501"/>
      <c r="RJ9" s="501"/>
      <c r="RK9" s="501"/>
      <c r="RL9" s="501"/>
      <c r="RM9" s="501"/>
      <c r="RN9" s="501"/>
      <c r="RO9" s="501"/>
      <c r="RP9" s="501"/>
      <c r="RQ9" s="501"/>
      <c r="RR9" s="501"/>
      <c r="RS9" s="501"/>
      <c r="RT9" s="501"/>
      <c r="RU9" s="501"/>
      <c r="RV9" s="501"/>
      <c r="RW9" s="501"/>
      <c r="RX9" s="501"/>
      <c r="RY9" s="501"/>
      <c r="RZ9" s="501"/>
      <c r="SA9" s="501"/>
      <c r="SB9" s="501"/>
      <c r="SC9" s="501"/>
      <c r="SD9" s="501"/>
      <c r="SE9" s="501"/>
      <c r="SF9" s="501"/>
      <c r="SG9" s="501"/>
      <c r="SH9" s="501"/>
      <c r="SI9" s="501"/>
      <c r="SJ9" s="501"/>
      <c r="SK9" s="501"/>
      <c r="SL9" s="501"/>
      <c r="SM9" s="501"/>
      <c r="SN9" s="501"/>
      <c r="SO9" s="501"/>
      <c r="SP9" s="501"/>
      <c r="SQ9" s="501"/>
      <c r="SR9" s="501"/>
      <c r="SS9" s="501"/>
      <c r="ST9" s="501"/>
      <c r="SU9" s="501"/>
      <c r="SV9" s="501"/>
      <c r="SW9" s="501"/>
      <c r="SX9" s="501"/>
      <c r="SY9" s="501"/>
      <c r="SZ9" s="501"/>
      <c r="TA9" s="501"/>
      <c r="TB9" s="501"/>
      <c r="TC9" s="501"/>
      <c r="TD9" s="501"/>
      <c r="TE9" s="501"/>
      <c r="TF9" s="501"/>
      <c r="TG9" s="501"/>
      <c r="TH9" s="501"/>
      <c r="TI9" s="501"/>
      <c r="TJ9" s="501"/>
      <c r="TK9" s="501"/>
      <c r="TL9" s="501"/>
      <c r="TM9" s="501"/>
      <c r="TN9" s="501"/>
      <c r="TO9" s="501"/>
      <c r="TP9" s="501"/>
      <c r="TQ9" s="501"/>
      <c r="TR9" s="501"/>
      <c r="TS9" s="501"/>
      <c r="TT9" s="501"/>
      <c r="TU9" s="501"/>
      <c r="TV9" s="501"/>
      <c r="TW9" s="501"/>
      <c r="TX9" s="501"/>
      <c r="TY9" s="501"/>
      <c r="TZ9" s="501"/>
      <c r="UA9" s="501"/>
      <c r="UB9" s="501"/>
      <c r="UC9" s="501"/>
      <c r="UD9" s="501"/>
      <c r="UE9" s="501"/>
      <c r="UF9" s="501"/>
      <c r="UG9" s="501"/>
      <c r="UH9" s="501"/>
      <c r="UI9" s="501"/>
      <c r="UJ9" s="501"/>
      <c r="UK9" s="501"/>
      <c r="UL9" s="501"/>
      <c r="UM9" s="501"/>
      <c r="UN9" s="501"/>
      <c r="UO9" s="501"/>
      <c r="UP9" s="501"/>
      <c r="UQ9" s="501"/>
      <c r="UR9" s="501"/>
      <c r="US9" s="501"/>
      <c r="UT9" s="501"/>
      <c r="UU9" s="501"/>
      <c r="UV9" s="501"/>
      <c r="UW9" s="501"/>
      <c r="UX9" s="501"/>
      <c r="UY9" s="501"/>
      <c r="UZ9" s="501"/>
      <c r="VA9" s="501"/>
      <c r="VB9" s="501"/>
      <c r="VC9" s="501"/>
      <c r="VD9" s="501"/>
      <c r="VE9" s="501"/>
      <c r="VF9" s="501"/>
      <c r="VG9" s="501"/>
      <c r="VH9" s="501"/>
      <c r="VI9" s="501"/>
      <c r="VJ9" s="501"/>
      <c r="VK9" s="501"/>
      <c r="VL9" s="501"/>
      <c r="VM9" s="501"/>
      <c r="VN9" s="501"/>
      <c r="VO9" s="501"/>
      <c r="VP9" s="501"/>
      <c r="VQ9" s="501"/>
      <c r="VR9" s="501"/>
      <c r="VS9" s="501"/>
      <c r="VT9" s="501"/>
      <c r="VU9" s="501"/>
      <c r="VV9" s="501"/>
      <c r="VW9" s="501"/>
      <c r="VX9" s="501"/>
      <c r="VY9" s="501"/>
      <c r="VZ9" s="501"/>
      <c r="WA9" s="501"/>
      <c r="WB9" s="501"/>
      <c r="WC9" s="501"/>
      <c r="WD9" s="501"/>
      <c r="WE9" s="501"/>
      <c r="WF9" s="501"/>
      <c r="WG9" s="501"/>
      <c r="WH9" s="501"/>
      <c r="WI9" s="501"/>
      <c r="WJ9" s="501"/>
      <c r="WK9" s="501"/>
      <c r="WL9" s="501"/>
      <c r="WM9" s="501"/>
      <c r="WN9" s="501"/>
      <c r="WO9" s="501"/>
      <c r="WP9" s="501"/>
      <c r="WQ9" s="501"/>
      <c r="WR9" s="501"/>
      <c r="WS9" s="501"/>
      <c r="WT9" s="501"/>
      <c r="WU9" s="501"/>
      <c r="WV9" s="501"/>
      <c r="WW9" s="501"/>
      <c r="WX9" s="501"/>
      <c r="WY9" s="501"/>
      <c r="WZ9" s="501"/>
      <c r="XA9" s="501"/>
      <c r="XB9" s="501"/>
      <c r="XC9" s="501"/>
      <c r="XD9" s="501"/>
      <c r="XE9" s="501"/>
      <c r="XF9" s="501"/>
      <c r="XG9" s="501"/>
      <c r="XH9" s="501"/>
      <c r="XI9" s="501"/>
      <c r="XJ9" s="501"/>
      <c r="XK9" s="501"/>
      <c r="XL9" s="501"/>
      <c r="XM9" s="501"/>
      <c r="XN9" s="501"/>
      <c r="XO9" s="501"/>
      <c r="XP9" s="501"/>
      <c r="XQ9" s="501"/>
      <c r="XR9" s="501"/>
      <c r="XS9" s="501"/>
      <c r="XT9" s="501"/>
      <c r="XU9" s="501"/>
      <c r="XV9" s="501"/>
      <c r="XW9" s="501"/>
      <c r="XX9" s="501"/>
      <c r="XY9" s="501"/>
      <c r="XZ9" s="501"/>
      <c r="YA9" s="501"/>
      <c r="YB9" s="501"/>
      <c r="YC9" s="501"/>
      <c r="YD9" s="501"/>
      <c r="YE9" s="501"/>
      <c r="YF9" s="501"/>
      <c r="YG9" s="501"/>
      <c r="YH9" s="501"/>
      <c r="YI9" s="501"/>
      <c r="YJ9" s="501"/>
      <c r="YK9" s="501"/>
      <c r="YL9" s="501"/>
      <c r="YM9" s="501"/>
      <c r="YN9" s="501"/>
      <c r="YO9" s="501"/>
      <c r="YP9" s="501"/>
      <c r="YQ9" s="501"/>
      <c r="YR9" s="501"/>
      <c r="YS9" s="501"/>
      <c r="YT9" s="501"/>
      <c r="YU9" s="501"/>
      <c r="YV9" s="501"/>
      <c r="YW9" s="501"/>
      <c r="YX9" s="501"/>
      <c r="YY9" s="501"/>
      <c r="YZ9" s="501"/>
      <c r="ZA9" s="501"/>
      <c r="ZB9" s="501"/>
      <c r="ZC9" s="501"/>
      <c r="ZD9" s="501"/>
      <c r="ZE9" s="501"/>
      <c r="ZF9" s="501"/>
      <c r="ZG9" s="501"/>
      <c r="ZH9" s="501"/>
      <c r="ZI9" s="501"/>
      <c r="ZJ9" s="501"/>
      <c r="ZK9" s="501"/>
      <c r="ZL9" s="501"/>
      <c r="ZM9" s="501"/>
      <c r="ZN9" s="501"/>
      <c r="ZO9" s="501"/>
      <c r="ZP9" s="501"/>
      <c r="ZQ9" s="501"/>
      <c r="ZR9" s="501"/>
      <c r="ZS9" s="501"/>
      <c r="ZT9" s="501"/>
      <c r="ZU9" s="501"/>
      <c r="ZV9" s="501"/>
      <c r="ZW9" s="501"/>
      <c r="ZX9" s="501"/>
      <c r="ZY9" s="501"/>
      <c r="ZZ9" s="501"/>
      <c r="AAA9" s="501"/>
      <c r="AAB9" s="501"/>
      <c r="AAC9" s="501"/>
      <c r="AAD9" s="501"/>
      <c r="AAE9" s="501"/>
      <c r="AAF9" s="501"/>
      <c r="AAG9" s="501"/>
      <c r="AAH9" s="501"/>
      <c r="AAI9" s="501"/>
      <c r="AAJ9" s="501"/>
      <c r="AAK9" s="501"/>
      <c r="AAL9" s="501"/>
      <c r="AAM9" s="501"/>
      <c r="AAN9" s="501"/>
      <c r="AAO9" s="501"/>
      <c r="AAP9" s="501"/>
      <c r="AAQ9" s="501"/>
      <c r="AAR9" s="501"/>
      <c r="AAS9" s="501"/>
      <c r="AAT9" s="501"/>
      <c r="AAU9" s="501"/>
      <c r="AAV9" s="501"/>
      <c r="AAW9" s="501"/>
      <c r="AAX9" s="501"/>
      <c r="AAY9" s="501"/>
      <c r="AAZ9" s="501"/>
      <c r="ABA9" s="501"/>
      <c r="ABB9" s="501"/>
      <c r="ABC9" s="501"/>
      <c r="ABD9" s="501"/>
      <c r="ABE9" s="501"/>
      <c r="ABF9" s="501"/>
      <c r="ABG9" s="501"/>
      <c r="ABH9" s="501"/>
      <c r="ABI9" s="501"/>
      <c r="ABJ9" s="501"/>
      <c r="ABK9" s="501"/>
      <c r="ABL9" s="501"/>
      <c r="ABM9" s="501"/>
      <c r="ABN9" s="501"/>
      <c r="ABO9" s="501"/>
      <c r="ABP9" s="501"/>
      <c r="ABQ9" s="501"/>
      <c r="ABR9" s="501"/>
      <c r="ABS9" s="501"/>
      <c r="ABT9" s="501"/>
      <c r="ABU9" s="501"/>
      <c r="ABV9" s="501"/>
      <c r="ABW9" s="501"/>
      <c r="ABX9" s="501"/>
      <c r="ABY9" s="501"/>
      <c r="ABZ9" s="501"/>
      <c r="ACA9" s="501"/>
      <c r="ACB9" s="501"/>
      <c r="ACC9" s="501"/>
      <c r="ACD9" s="501"/>
      <c r="ACE9" s="501"/>
      <c r="ACF9" s="501"/>
      <c r="ACG9" s="501"/>
      <c r="ACH9" s="501"/>
      <c r="ACI9" s="501"/>
      <c r="ACJ9" s="501"/>
      <c r="ACK9" s="501"/>
      <c r="ACL9" s="501"/>
      <c r="ACM9" s="501"/>
      <c r="ACN9" s="501"/>
      <c r="ACO9" s="501"/>
      <c r="ACP9" s="501"/>
      <c r="ACQ9" s="501"/>
      <c r="ACR9" s="501"/>
      <c r="ACS9" s="501"/>
      <c r="ACT9" s="501"/>
      <c r="ACU9" s="501"/>
      <c r="ACV9" s="501"/>
      <c r="ACW9" s="501"/>
      <c r="ACX9" s="501"/>
      <c r="ACY9" s="501"/>
      <c r="ACZ9" s="501"/>
      <c r="ADA9" s="501"/>
      <c r="ADB9" s="501"/>
      <c r="ADC9" s="501"/>
      <c r="ADD9" s="501"/>
      <c r="ADE9" s="501"/>
      <c r="ADF9" s="501"/>
      <c r="ADG9" s="501"/>
      <c r="ADH9" s="501"/>
      <c r="ADI9" s="501"/>
      <c r="ADJ9" s="501"/>
      <c r="ADK9" s="501"/>
      <c r="ADL9" s="501"/>
      <c r="ADM9" s="501"/>
      <c r="ADN9" s="501"/>
      <c r="ADO9" s="501"/>
      <c r="ADP9" s="501"/>
      <c r="ADQ9" s="501"/>
      <c r="ADR9" s="501"/>
      <c r="ADS9" s="501"/>
      <c r="ADT9" s="501"/>
      <c r="ADU9" s="501"/>
      <c r="ADV9" s="501"/>
      <c r="ADW9" s="501"/>
      <c r="ADX9" s="501"/>
      <c r="ADY9" s="501"/>
      <c r="ADZ9" s="501"/>
      <c r="AEA9" s="501"/>
      <c r="AEB9" s="501"/>
      <c r="AEC9" s="501"/>
      <c r="AED9" s="501"/>
      <c r="AEE9" s="501"/>
      <c r="AEF9" s="501"/>
      <c r="AEG9" s="501"/>
      <c r="AEH9" s="501"/>
      <c r="AEI9" s="501"/>
      <c r="AEJ9" s="501"/>
      <c r="AEK9" s="501"/>
      <c r="AEL9" s="501"/>
      <c r="AEM9" s="501"/>
      <c r="AEN9" s="501"/>
      <c r="AEO9" s="501"/>
      <c r="AEP9" s="501"/>
      <c r="AEQ9" s="501"/>
      <c r="AER9" s="501"/>
      <c r="AES9" s="501"/>
      <c r="AET9" s="501"/>
      <c r="AEU9" s="501"/>
      <c r="AEV9" s="501"/>
      <c r="AEW9" s="501"/>
      <c r="AEX9" s="501"/>
      <c r="AEY9" s="501"/>
      <c r="AEZ9" s="501"/>
      <c r="AFA9" s="501"/>
      <c r="AFB9" s="501"/>
      <c r="AFC9" s="501"/>
      <c r="AFD9" s="501"/>
      <c r="AFE9" s="501"/>
      <c r="AFF9" s="501"/>
      <c r="AFG9" s="501"/>
      <c r="AFH9" s="501"/>
      <c r="AFI9" s="501"/>
      <c r="AFJ9" s="501"/>
      <c r="AFK9" s="501"/>
      <c r="AFL9" s="501"/>
      <c r="AFM9" s="501"/>
      <c r="AFN9" s="501"/>
      <c r="AFO9" s="501"/>
      <c r="AFP9" s="501"/>
      <c r="AFQ9" s="501"/>
      <c r="AFR9" s="501"/>
      <c r="AFS9" s="501"/>
      <c r="AFT9" s="501"/>
      <c r="AFU9" s="501"/>
      <c r="AFV9" s="501"/>
      <c r="AFW9" s="501"/>
      <c r="AFX9" s="501"/>
      <c r="AFY9" s="501"/>
      <c r="AFZ9" s="501"/>
      <c r="AGA9" s="501"/>
      <c r="AGB9" s="501"/>
      <c r="AGC9" s="501"/>
      <c r="AGD9" s="501"/>
      <c r="AGE9" s="501"/>
      <c r="AGF9" s="501"/>
      <c r="AGG9" s="501"/>
      <c r="AGH9" s="501"/>
      <c r="AGI9" s="501"/>
      <c r="AGJ9" s="501"/>
      <c r="AGK9" s="501"/>
      <c r="AGL9" s="501"/>
      <c r="AGM9" s="501"/>
      <c r="AGN9" s="501"/>
      <c r="AGO9" s="501"/>
      <c r="AGP9" s="501"/>
      <c r="AGQ9" s="501"/>
      <c r="AGR9" s="501"/>
      <c r="AGS9" s="501"/>
      <c r="AGT9" s="501"/>
      <c r="AGU9" s="501"/>
      <c r="AGV9" s="501"/>
      <c r="AGW9" s="501"/>
      <c r="AGX9" s="501"/>
      <c r="AGY9" s="501"/>
      <c r="AGZ9" s="501"/>
      <c r="AHA9" s="501"/>
      <c r="AHB9" s="501"/>
      <c r="AHC9" s="501"/>
      <c r="AHD9" s="501"/>
      <c r="AHE9" s="501"/>
      <c r="AHF9" s="501"/>
      <c r="AHG9" s="501"/>
      <c r="AHH9" s="501"/>
      <c r="AHI9" s="501"/>
      <c r="AHJ9" s="501"/>
      <c r="AHK9" s="501"/>
      <c r="AHL9" s="501"/>
      <c r="AHM9" s="501"/>
      <c r="AHN9" s="501"/>
      <c r="AHO9" s="501"/>
      <c r="AHP9" s="501"/>
      <c r="AHQ9" s="501"/>
      <c r="AHR9" s="501"/>
      <c r="AHS9" s="501"/>
      <c r="AHT9" s="501"/>
      <c r="AHU9" s="501"/>
      <c r="AHV9" s="501"/>
      <c r="AHW9" s="501"/>
      <c r="AHX9" s="501"/>
      <c r="AHY9" s="501"/>
      <c r="AHZ9" s="501"/>
      <c r="AIA9" s="501"/>
      <c r="AIB9" s="501"/>
      <c r="AIC9" s="501"/>
      <c r="AID9" s="501"/>
      <c r="AIE9" s="501"/>
      <c r="AIF9" s="501"/>
      <c r="AIG9" s="501"/>
      <c r="AIH9" s="501"/>
      <c r="AII9" s="501"/>
      <c r="AIJ9" s="501"/>
      <c r="AIK9" s="501"/>
      <c r="AIL9" s="501"/>
      <c r="AIM9" s="501"/>
      <c r="AIN9" s="501"/>
      <c r="AIO9" s="501"/>
      <c r="AIP9" s="501"/>
      <c r="AIQ9" s="501"/>
      <c r="AIR9" s="501"/>
      <c r="AIS9" s="501"/>
      <c r="AIT9" s="501"/>
      <c r="AIU9" s="501"/>
      <c r="AIV9" s="501"/>
      <c r="AIW9" s="501"/>
      <c r="AIX9" s="501"/>
      <c r="AIY9" s="501"/>
      <c r="AIZ9" s="501"/>
      <c r="AJA9" s="501"/>
      <c r="AJB9" s="501"/>
      <c r="AJC9" s="501"/>
      <c r="AJD9" s="501"/>
      <c r="AJE9" s="501"/>
      <c r="AJF9" s="501"/>
      <c r="AJG9" s="501"/>
      <c r="AJH9" s="501"/>
      <c r="AJI9" s="501"/>
      <c r="AJJ9" s="501"/>
      <c r="AJK9" s="501"/>
      <c r="AJL9" s="501"/>
      <c r="AJM9" s="501"/>
      <c r="AJN9" s="501"/>
      <c r="AJO9" s="501"/>
      <c r="AJP9" s="501"/>
      <c r="AJQ9" s="501"/>
      <c r="AJR9" s="501"/>
      <c r="AJS9" s="501"/>
      <c r="AJT9" s="501"/>
      <c r="AJU9" s="501"/>
      <c r="AJV9" s="501"/>
      <c r="AJW9" s="501"/>
      <c r="AJX9" s="501"/>
      <c r="AJY9" s="501"/>
      <c r="AJZ9" s="501"/>
      <c r="AKA9" s="501"/>
      <c r="AKB9" s="501"/>
      <c r="AKC9" s="501"/>
      <c r="AKD9" s="501"/>
      <c r="AKE9" s="501"/>
      <c r="AKF9" s="501"/>
      <c r="AKG9" s="501"/>
      <c r="AKH9" s="501"/>
      <c r="AKI9" s="501"/>
      <c r="AKJ9" s="501"/>
      <c r="AKK9" s="501"/>
      <c r="AKL9" s="501"/>
      <c r="AKM9" s="501"/>
      <c r="AKN9" s="501"/>
      <c r="AKO9" s="501"/>
      <c r="AKP9" s="501"/>
      <c r="AKQ9" s="501"/>
      <c r="AKR9" s="501"/>
      <c r="AKS9" s="501"/>
      <c r="AKT9" s="501"/>
      <c r="AKU9" s="501"/>
      <c r="AKV9" s="501"/>
      <c r="AKW9" s="501"/>
      <c r="AKX9" s="501"/>
      <c r="AKY9" s="501"/>
      <c r="AKZ9" s="501"/>
      <c r="ALA9" s="501"/>
      <c r="ALB9" s="501"/>
      <c r="ALC9" s="501"/>
      <c r="ALD9" s="501"/>
      <c r="ALE9" s="501"/>
      <c r="ALF9" s="501"/>
      <c r="ALG9" s="501"/>
      <c r="ALH9" s="501"/>
      <c r="ALI9" s="501"/>
      <c r="ALJ9" s="501"/>
      <c r="ALK9" s="501"/>
      <c r="ALL9" s="501"/>
      <c r="ALM9" s="501"/>
      <c r="ALN9" s="501"/>
      <c r="ALO9" s="501"/>
      <c r="ALP9" s="501"/>
      <c r="ALQ9" s="501"/>
      <c r="ALR9" s="501"/>
      <c r="ALS9" s="501"/>
      <c r="ALT9" s="501"/>
      <c r="ALU9" s="501"/>
      <c r="ALV9" s="501"/>
      <c r="ALW9" s="501"/>
      <c r="ALX9" s="501"/>
      <c r="ALY9" s="501"/>
      <c r="ALZ9" s="501"/>
      <c r="AMA9" s="501"/>
      <c r="AMB9" s="501"/>
      <c r="AMC9" s="501"/>
      <c r="AMD9" s="501"/>
      <c r="AME9" s="501"/>
      <c r="AMF9" s="501"/>
      <c r="AMG9" s="501"/>
      <c r="AMH9" s="501"/>
      <c r="AMI9" s="501"/>
      <c r="AMJ9" s="501"/>
      <c r="AMK9" s="501"/>
      <c r="AML9" s="501"/>
      <c r="AMM9" s="501"/>
      <c r="AMN9" s="501"/>
      <c r="AMO9" s="501"/>
      <c r="AMP9" s="501"/>
      <c r="AMQ9" s="501"/>
      <c r="AMR9" s="501"/>
      <c r="AMS9" s="501"/>
      <c r="AMT9" s="501"/>
      <c r="AMU9" s="501"/>
      <c r="AMV9" s="501"/>
      <c r="AMW9" s="501"/>
      <c r="AMX9" s="501"/>
      <c r="AMY9" s="501"/>
      <c r="AMZ9" s="501"/>
      <c r="ANA9" s="501"/>
      <c r="ANB9" s="501"/>
      <c r="ANC9" s="501"/>
      <c r="AND9" s="501"/>
      <c r="ANE9" s="501"/>
      <c r="ANF9" s="501"/>
      <c r="ANG9" s="501"/>
      <c r="ANH9" s="501"/>
      <c r="ANI9" s="501"/>
      <c r="ANJ9" s="501"/>
      <c r="ANK9" s="501"/>
      <c r="ANL9" s="501"/>
      <c r="ANM9" s="501"/>
      <c r="ANN9" s="501"/>
      <c r="ANO9" s="501"/>
      <c r="ANP9" s="501"/>
      <c r="ANQ9" s="501"/>
      <c r="ANR9" s="501"/>
      <c r="ANS9" s="501"/>
      <c r="ANT9" s="501"/>
      <c r="ANU9" s="501"/>
      <c r="ANV9" s="501"/>
      <c r="ANW9" s="501"/>
      <c r="ANX9" s="501"/>
      <c r="ANY9" s="501"/>
      <c r="ANZ9" s="501"/>
      <c r="AOA9" s="501"/>
      <c r="AOB9" s="501"/>
      <c r="AOC9" s="501"/>
      <c r="AOD9" s="501"/>
      <c r="AOE9" s="501"/>
      <c r="AOF9" s="501"/>
      <c r="AOG9" s="501"/>
      <c r="AOH9" s="501"/>
      <c r="AOI9" s="501"/>
      <c r="AOJ9" s="501"/>
      <c r="AOK9" s="501"/>
      <c r="AOL9" s="501"/>
      <c r="AOM9" s="501"/>
      <c r="AON9" s="501"/>
      <c r="AOO9" s="501"/>
      <c r="AOP9" s="501"/>
      <c r="AOQ9" s="501"/>
      <c r="AOR9" s="501"/>
      <c r="AOS9" s="501"/>
      <c r="AOT9" s="501"/>
      <c r="AOU9" s="501"/>
      <c r="AOV9" s="501"/>
      <c r="AOW9" s="501"/>
      <c r="AOX9" s="501"/>
      <c r="AOY9" s="501"/>
      <c r="AOZ9" s="501"/>
      <c r="APA9" s="501"/>
      <c r="APB9" s="501"/>
      <c r="APC9" s="501"/>
      <c r="APD9" s="501"/>
      <c r="APE9" s="501"/>
      <c r="APF9" s="501"/>
      <c r="APG9" s="501"/>
      <c r="APH9" s="501"/>
      <c r="API9" s="501"/>
      <c r="APJ9" s="501"/>
      <c r="APK9" s="501"/>
      <c r="APL9" s="501"/>
      <c r="APM9" s="501"/>
      <c r="APN9" s="501"/>
      <c r="APO9" s="501"/>
      <c r="APP9" s="501"/>
      <c r="APQ9" s="501"/>
      <c r="APR9" s="501"/>
      <c r="APS9" s="501"/>
      <c r="APT9" s="501"/>
      <c r="APU9" s="501"/>
      <c r="APV9" s="501"/>
      <c r="APW9" s="501"/>
      <c r="APX9" s="501"/>
      <c r="APY9" s="501"/>
      <c r="APZ9" s="501"/>
      <c r="AQA9" s="501"/>
      <c r="AQB9" s="501"/>
      <c r="AQC9" s="501"/>
      <c r="AQD9" s="501"/>
      <c r="AQE9" s="501"/>
      <c r="AQF9" s="501"/>
      <c r="AQG9" s="501"/>
      <c r="AQH9" s="501"/>
      <c r="AQI9" s="501"/>
      <c r="AQJ9" s="501"/>
      <c r="AQK9" s="501"/>
      <c r="AQL9" s="501"/>
      <c r="AQM9" s="501"/>
      <c r="AQN9" s="501"/>
      <c r="AQO9" s="501"/>
      <c r="AQP9" s="501"/>
      <c r="AQQ9" s="501"/>
      <c r="AQR9" s="501"/>
      <c r="AQS9" s="501"/>
      <c r="AQT9" s="501"/>
      <c r="AQU9" s="501"/>
      <c r="AQV9" s="501"/>
      <c r="AQW9" s="501"/>
      <c r="AQX9" s="501"/>
      <c r="AQY9" s="501"/>
      <c r="AQZ9" s="501"/>
      <c r="ARA9" s="501"/>
      <c r="ARB9" s="501"/>
      <c r="ARC9" s="501"/>
      <c r="ARD9" s="501"/>
      <c r="ARE9" s="501"/>
      <c r="ARF9" s="501"/>
      <c r="ARG9" s="501"/>
      <c r="ARH9" s="501"/>
      <c r="ARI9" s="501"/>
      <c r="ARJ9" s="501"/>
      <c r="ARK9" s="501"/>
      <c r="ARL9" s="501"/>
      <c r="ARM9" s="501"/>
      <c r="ARN9" s="501"/>
      <c r="ARO9" s="501"/>
      <c r="ARP9" s="501"/>
      <c r="ARQ9" s="501"/>
      <c r="ARR9" s="501"/>
      <c r="ARS9" s="501"/>
      <c r="ART9" s="501"/>
      <c r="ARU9" s="501"/>
      <c r="ARV9" s="501"/>
      <c r="ARW9" s="501"/>
      <c r="ARX9" s="501"/>
      <c r="ARY9" s="501"/>
      <c r="ARZ9" s="501"/>
      <c r="ASA9" s="501"/>
      <c r="ASB9" s="501"/>
      <c r="ASC9" s="501"/>
      <c r="ASD9" s="501"/>
      <c r="ASE9" s="501"/>
      <c r="ASF9" s="501"/>
      <c r="ASG9" s="501"/>
      <c r="ASH9" s="501"/>
      <c r="ASI9" s="501"/>
      <c r="ASJ9" s="501"/>
      <c r="ASK9" s="501"/>
      <c r="ASL9" s="501"/>
      <c r="ASM9" s="501"/>
      <c r="ASN9" s="501"/>
      <c r="ASO9" s="501"/>
      <c r="ASP9" s="501"/>
      <c r="ASQ9" s="501"/>
      <c r="ASR9" s="501"/>
      <c r="ASS9" s="501"/>
      <c r="AST9" s="501"/>
      <c r="ASU9" s="501"/>
      <c r="ASV9" s="501"/>
      <c r="ASW9" s="501"/>
      <c r="ASX9" s="501"/>
      <c r="ASY9" s="501"/>
      <c r="ASZ9" s="501"/>
      <c r="ATA9" s="501"/>
      <c r="ATB9" s="501"/>
      <c r="ATC9" s="501"/>
      <c r="ATD9" s="501"/>
      <c r="ATE9" s="501"/>
      <c r="ATF9" s="501"/>
      <c r="ATG9" s="501"/>
      <c r="ATH9" s="501"/>
      <c r="ATI9" s="501"/>
      <c r="ATJ9" s="501"/>
      <c r="ATK9" s="501"/>
      <c r="ATL9" s="501"/>
      <c r="ATM9" s="501"/>
      <c r="ATN9" s="501"/>
      <c r="ATO9" s="501"/>
      <c r="ATP9" s="501"/>
      <c r="ATQ9" s="501"/>
      <c r="ATR9" s="501"/>
      <c r="ATS9" s="501"/>
      <c r="ATT9" s="501"/>
      <c r="ATU9" s="501"/>
      <c r="ATV9" s="501"/>
      <c r="ATW9" s="501"/>
      <c r="ATX9" s="501"/>
      <c r="ATY9" s="501"/>
      <c r="ATZ9" s="501"/>
      <c r="AUA9" s="501"/>
      <c r="AUB9" s="501"/>
      <c r="AUC9" s="501"/>
      <c r="AUD9" s="501"/>
      <c r="AUE9" s="501"/>
      <c r="AUF9" s="501"/>
      <c r="AUG9" s="501"/>
      <c r="AUH9" s="501"/>
      <c r="AUI9" s="501"/>
      <c r="AUJ9" s="501"/>
      <c r="AUK9" s="501"/>
      <c r="AUL9" s="501"/>
      <c r="AUM9" s="501"/>
      <c r="AUN9" s="501"/>
      <c r="AUO9" s="501"/>
      <c r="AUP9" s="501"/>
      <c r="AUQ9" s="501"/>
      <c r="AUR9" s="501"/>
      <c r="AUS9" s="501"/>
      <c r="AUT9" s="501"/>
      <c r="AUU9" s="501"/>
      <c r="AUV9" s="501"/>
      <c r="AUW9" s="501"/>
      <c r="AUX9" s="501"/>
      <c r="AUY9" s="501"/>
      <c r="AUZ9" s="501"/>
      <c r="AVA9" s="501"/>
      <c r="AVB9" s="501"/>
      <c r="AVC9" s="501"/>
      <c r="AVD9" s="501"/>
      <c r="AVE9" s="501"/>
      <c r="AVF9" s="501"/>
      <c r="AVG9" s="501"/>
      <c r="AVH9" s="501"/>
      <c r="AVI9" s="501"/>
      <c r="AVJ9" s="501"/>
      <c r="AVK9" s="501"/>
      <c r="AVL9" s="501"/>
      <c r="AVM9" s="501"/>
      <c r="AVN9" s="501"/>
      <c r="AVO9" s="501"/>
      <c r="AVP9" s="501"/>
      <c r="AVQ9" s="501"/>
      <c r="AVR9" s="501"/>
      <c r="AVS9" s="501"/>
      <c r="AVT9" s="501"/>
      <c r="AVU9" s="501"/>
      <c r="AVV9" s="501"/>
      <c r="AVW9" s="501"/>
      <c r="AVX9" s="501"/>
      <c r="AVY9" s="501"/>
      <c r="AVZ9" s="501"/>
      <c r="AWA9" s="501"/>
      <c r="AWB9" s="501"/>
      <c r="AWC9" s="501"/>
      <c r="AWD9" s="501"/>
      <c r="AWE9" s="501"/>
      <c r="AWF9" s="501"/>
      <c r="AWG9" s="501"/>
      <c r="AWH9" s="501"/>
      <c r="AWI9" s="501"/>
      <c r="AWJ9" s="501"/>
      <c r="AWK9" s="501"/>
      <c r="AWL9" s="501"/>
      <c r="AWM9" s="501"/>
      <c r="AWN9" s="501"/>
      <c r="AWO9" s="501"/>
      <c r="AWP9" s="501"/>
      <c r="AWQ9" s="501"/>
      <c r="AWR9" s="501"/>
      <c r="AWS9" s="501"/>
      <c r="AWT9" s="501"/>
      <c r="AWU9" s="501"/>
      <c r="AWV9" s="501"/>
      <c r="AWW9" s="501"/>
      <c r="AWX9" s="501"/>
      <c r="AWY9" s="501"/>
      <c r="AWZ9" s="501"/>
      <c r="AXA9" s="501"/>
      <c r="AXB9" s="501"/>
      <c r="AXC9" s="501"/>
      <c r="AXD9" s="501"/>
      <c r="AXE9" s="501"/>
      <c r="AXF9" s="501"/>
      <c r="AXG9" s="501"/>
      <c r="AXH9" s="501"/>
      <c r="AXI9" s="501"/>
      <c r="AXJ9" s="501"/>
      <c r="AXK9" s="501"/>
      <c r="AXL9" s="501"/>
      <c r="AXM9" s="501"/>
      <c r="AXN9" s="501"/>
      <c r="AXO9" s="501"/>
      <c r="AXP9" s="501"/>
      <c r="AXQ9" s="501"/>
      <c r="AXR9" s="501"/>
      <c r="AXS9" s="501"/>
      <c r="AXT9" s="501"/>
      <c r="AXU9" s="501"/>
      <c r="AXV9" s="501"/>
      <c r="AXW9" s="501"/>
      <c r="AXX9" s="501"/>
      <c r="AXY9" s="501"/>
      <c r="AXZ9" s="501"/>
      <c r="AYA9" s="501"/>
      <c r="AYB9" s="501"/>
      <c r="AYC9" s="501"/>
      <c r="AYD9" s="501"/>
      <c r="AYE9" s="501"/>
      <c r="AYF9" s="501"/>
      <c r="AYG9" s="501"/>
      <c r="AYH9" s="501"/>
      <c r="AYI9" s="501"/>
      <c r="AYJ9" s="501"/>
      <c r="AYK9" s="501"/>
      <c r="AYL9" s="501"/>
      <c r="AYM9" s="501"/>
      <c r="AYN9" s="501"/>
      <c r="AYO9" s="501"/>
      <c r="AYP9" s="501"/>
      <c r="AYQ9" s="501"/>
      <c r="AYR9" s="501"/>
      <c r="AYS9" s="501"/>
      <c r="AYT9" s="501"/>
      <c r="AYU9" s="501"/>
      <c r="AYV9" s="501"/>
      <c r="AYW9" s="501"/>
      <c r="AYX9" s="501"/>
      <c r="AYY9" s="501"/>
      <c r="AYZ9" s="501"/>
      <c r="AZA9" s="501"/>
      <c r="AZB9" s="501"/>
      <c r="AZC9" s="501"/>
      <c r="AZD9" s="501"/>
      <c r="AZE9" s="501"/>
      <c r="AZF9" s="501"/>
      <c r="AZG9" s="501"/>
      <c r="AZH9" s="501"/>
      <c r="AZI9" s="501"/>
      <c r="AZJ9" s="501"/>
      <c r="AZK9" s="501"/>
      <c r="AZL9" s="501"/>
      <c r="AZM9" s="501"/>
      <c r="AZN9" s="501"/>
      <c r="AZO9" s="501"/>
      <c r="AZP9" s="501"/>
      <c r="AZQ9" s="501"/>
      <c r="AZR9" s="501"/>
      <c r="AZS9" s="501"/>
      <c r="AZT9" s="501"/>
      <c r="AZU9" s="501"/>
      <c r="AZV9" s="501"/>
      <c r="AZW9" s="501"/>
      <c r="AZX9" s="501"/>
      <c r="AZY9" s="501"/>
      <c r="AZZ9" s="501"/>
      <c r="BAA9" s="501"/>
      <c r="BAB9" s="501"/>
      <c r="BAC9" s="501"/>
      <c r="BAD9" s="501"/>
      <c r="BAE9" s="501"/>
      <c r="BAF9" s="501"/>
      <c r="BAG9" s="501"/>
      <c r="BAH9" s="501"/>
      <c r="BAI9" s="501"/>
      <c r="BAJ9" s="501"/>
      <c r="BAK9" s="501"/>
      <c r="BAL9" s="501"/>
      <c r="BAM9" s="501"/>
      <c r="BAN9" s="501"/>
      <c r="BAO9" s="501"/>
      <c r="BAP9" s="501"/>
      <c r="BAQ9" s="501"/>
      <c r="BAR9" s="501"/>
      <c r="BAS9" s="501"/>
      <c r="BAT9" s="501"/>
      <c r="BAU9" s="501"/>
      <c r="BAV9" s="501"/>
      <c r="BAW9" s="501"/>
      <c r="BAX9" s="501"/>
      <c r="BAY9" s="501"/>
      <c r="BAZ9" s="501"/>
      <c r="BBA9" s="501"/>
      <c r="BBB9" s="501"/>
      <c r="BBC9" s="501"/>
      <c r="BBD9" s="501"/>
      <c r="BBE9" s="501"/>
      <c r="BBF9" s="501"/>
      <c r="BBG9" s="501"/>
      <c r="BBH9" s="501"/>
      <c r="BBI9" s="501"/>
      <c r="BBJ9" s="501"/>
      <c r="BBK9" s="501"/>
      <c r="BBL9" s="501"/>
      <c r="BBM9" s="501"/>
      <c r="BBN9" s="501"/>
      <c r="BBO9" s="501"/>
      <c r="BBP9" s="501"/>
      <c r="BBQ9" s="501"/>
      <c r="BBR9" s="501"/>
      <c r="BBS9" s="501"/>
      <c r="BBT9" s="501"/>
      <c r="BBU9" s="501"/>
      <c r="BBV9" s="501"/>
      <c r="BBW9" s="501"/>
      <c r="BBX9" s="501"/>
      <c r="BBY9" s="501"/>
      <c r="BBZ9" s="501"/>
      <c r="BCA9" s="501"/>
      <c r="BCB9" s="501"/>
      <c r="BCC9" s="501"/>
      <c r="BCD9" s="501"/>
      <c r="BCE9" s="501"/>
      <c r="BCF9" s="501"/>
      <c r="BCG9" s="501"/>
      <c r="BCH9" s="501"/>
      <c r="BCI9" s="501"/>
      <c r="BCJ9" s="501"/>
      <c r="BCK9" s="501"/>
      <c r="BCL9" s="501"/>
      <c r="BCM9" s="501"/>
      <c r="BCN9" s="501"/>
      <c r="BCO9" s="501"/>
      <c r="BCP9" s="501"/>
      <c r="BCQ9" s="501"/>
      <c r="BCR9" s="501"/>
      <c r="BCS9" s="501"/>
      <c r="BCT9" s="501"/>
      <c r="BCU9" s="501"/>
      <c r="BCV9" s="501"/>
      <c r="BCW9" s="501"/>
      <c r="BCX9" s="501"/>
      <c r="BCY9" s="501"/>
      <c r="BCZ9" s="501"/>
      <c r="BDA9" s="501"/>
      <c r="BDB9" s="501"/>
      <c r="BDC9" s="501"/>
      <c r="BDD9" s="501"/>
      <c r="BDE9" s="501"/>
      <c r="BDF9" s="501"/>
      <c r="BDG9" s="501"/>
      <c r="BDH9" s="501"/>
      <c r="BDI9" s="501"/>
      <c r="BDJ9" s="501"/>
      <c r="BDK9" s="501"/>
      <c r="BDL9" s="501"/>
      <c r="BDM9" s="501"/>
      <c r="BDN9" s="501"/>
      <c r="BDO9" s="501"/>
      <c r="BDP9" s="501"/>
      <c r="BDQ9" s="501"/>
      <c r="BDR9" s="501"/>
      <c r="BDS9" s="501"/>
      <c r="BDT9" s="501"/>
      <c r="BDU9" s="501"/>
      <c r="BDV9" s="501"/>
      <c r="BDW9" s="501"/>
      <c r="BDX9" s="501"/>
      <c r="BDY9" s="501"/>
      <c r="BDZ9" s="501"/>
      <c r="BEA9" s="501"/>
      <c r="BEB9" s="501"/>
      <c r="BEC9" s="501"/>
      <c r="BED9" s="501"/>
      <c r="BEE9" s="501"/>
      <c r="BEF9" s="501"/>
      <c r="BEG9" s="501"/>
      <c r="BEH9" s="501"/>
      <c r="BEI9" s="501"/>
      <c r="BEJ9" s="501"/>
      <c r="BEK9" s="501"/>
      <c r="BEL9" s="501"/>
      <c r="BEM9" s="501"/>
      <c r="BEN9" s="501"/>
      <c r="BEO9" s="501"/>
      <c r="BEP9" s="501"/>
      <c r="BEQ9" s="501"/>
      <c r="BER9" s="501"/>
      <c r="BES9" s="501"/>
      <c r="BET9" s="501"/>
      <c r="BEU9" s="501"/>
      <c r="BEV9" s="501"/>
      <c r="BEW9" s="501"/>
      <c r="BEX9" s="501"/>
      <c r="BEY9" s="501"/>
      <c r="BEZ9" s="501"/>
      <c r="BFA9" s="501"/>
      <c r="BFB9" s="501"/>
      <c r="BFC9" s="501"/>
      <c r="BFD9" s="501"/>
      <c r="BFE9" s="501"/>
      <c r="BFF9" s="501"/>
      <c r="BFG9" s="501"/>
      <c r="BFH9" s="501"/>
      <c r="BFI9" s="501"/>
      <c r="BFJ9" s="501"/>
      <c r="BFK9" s="501"/>
      <c r="BFL9" s="501"/>
      <c r="BFM9" s="501"/>
      <c r="BFN9" s="501"/>
      <c r="BFO9" s="501"/>
      <c r="BFP9" s="501"/>
      <c r="BFQ9" s="501"/>
      <c r="BFR9" s="501"/>
      <c r="BFS9" s="501"/>
      <c r="BFT9" s="501"/>
      <c r="BFU9" s="501"/>
      <c r="BFV9" s="501"/>
      <c r="BFW9" s="501"/>
      <c r="BFX9" s="501"/>
      <c r="BFY9" s="501"/>
      <c r="BFZ9" s="501"/>
      <c r="BGA9" s="501"/>
      <c r="BGB9" s="501"/>
      <c r="BGC9" s="501"/>
      <c r="BGD9" s="501"/>
      <c r="BGE9" s="501"/>
      <c r="BGF9" s="501"/>
      <c r="BGG9" s="501"/>
      <c r="BGH9" s="501"/>
      <c r="BGI9" s="501"/>
      <c r="BGJ9" s="501"/>
      <c r="BGK9" s="501"/>
      <c r="BGL9" s="501"/>
      <c r="BGM9" s="501"/>
      <c r="BGN9" s="501"/>
      <c r="BGO9" s="501"/>
      <c r="BGP9" s="501"/>
      <c r="BGQ9" s="501"/>
      <c r="BGR9" s="501"/>
      <c r="BGS9" s="501"/>
      <c r="BGT9" s="501"/>
      <c r="BGU9" s="501"/>
      <c r="BGV9" s="501"/>
      <c r="BGW9" s="501"/>
      <c r="BGX9" s="501"/>
      <c r="BGY9" s="501"/>
      <c r="BGZ9" s="501"/>
      <c r="BHA9" s="501"/>
      <c r="BHB9" s="501"/>
      <c r="BHC9" s="501"/>
      <c r="BHD9" s="501"/>
      <c r="BHE9" s="501"/>
      <c r="BHF9" s="501"/>
      <c r="BHG9" s="501"/>
      <c r="BHH9" s="501"/>
      <c r="BHI9" s="501"/>
      <c r="BHJ9" s="501"/>
      <c r="BHK9" s="501"/>
      <c r="BHL9" s="501"/>
      <c r="BHM9" s="501"/>
      <c r="BHN9" s="501"/>
      <c r="BHO9" s="501"/>
      <c r="BHP9" s="501"/>
      <c r="BHQ9" s="501"/>
      <c r="BHR9" s="501"/>
      <c r="BHS9" s="501"/>
      <c r="BHT9" s="501"/>
      <c r="BHU9" s="501"/>
      <c r="BHV9" s="501"/>
      <c r="BHW9" s="501"/>
      <c r="BHX9" s="501"/>
      <c r="BHY9" s="501"/>
      <c r="BHZ9" s="501"/>
      <c r="BIA9" s="501"/>
      <c r="BIB9" s="501"/>
      <c r="BIC9" s="501"/>
      <c r="BID9" s="501"/>
      <c r="BIE9" s="501"/>
      <c r="BIF9" s="501"/>
      <c r="BIG9" s="501"/>
      <c r="BIH9" s="501"/>
      <c r="BII9" s="501"/>
      <c r="BIJ9" s="501"/>
      <c r="BIK9" s="501"/>
      <c r="BIL9" s="501"/>
      <c r="BIM9" s="501"/>
      <c r="BIN9" s="501"/>
      <c r="BIO9" s="501"/>
      <c r="BIP9" s="501"/>
      <c r="BIQ9" s="501"/>
      <c r="BIR9" s="501"/>
      <c r="BIS9" s="501"/>
      <c r="BIT9" s="501"/>
      <c r="BIU9" s="501"/>
      <c r="BIV9" s="501"/>
      <c r="BIW9" s="501"/>
      <c r="BIX9" s="501"/>
      <c r="BIY9" s="501"/>
      <c r="BIZ9" s="501"/>
      <c r="BJA9" s="501"/>
      <c r="BJB9" s="501"/>
      <c r="BJC9" s="501"/>
      <c r="BJD9" s="501"/>
      <c r="BJE9" s="501"/>
      <c r="BJF9" s="501"/>
      <c r="BJG9" s="501"/>
      <c r="BJH9" s="501"/>
      <c r="BJI9" s="501"/>
      <c r="BJJ9" s="501"/>
      <c r="BJK9" s="501"/>
      <c r="BJL9" s="501"/>
      <c r="BJM9" s="501"/>
      <c r="BJN9" s="501"/>
      <c r="BJO9" s="501"/>
      <c r="BJP9" s="501"/>
      <c r="BJQ9" s="501"/>
      <c r="BJR9" s="501"/>
      <c r="BJS9" s="501"/>
      <c r="BJT9" s="501"/>
      <c r="BJU9" s="501"/>
      <c r="BJV9" s="501"/>
      <c r="BJW9" s="501"/>
      <c r="BJX9" s="501"/>
      <c r="BJY9" s="501"/>
      <c r="BJZ9" s="501"/>
      <c r="BKA9" s="501"/>
      <c r="BKB9" s="501"/>
      <c r="BKC9" s="501"/>
      <c r="BKD9" s="501"/>
      <c r="BKE9" s="501"/>
      <c r="BKF9" s="501"/>
      <c r="BKG9" s="501"/>
      <c r="BKH9" s="501"/>
      <c r="BKI9" s="501"/>
      <c r="BKJ9" s="501"/>
      <c r="BKK9" s="501"/>
      <c r="BKL9" s="501"/>
      <c r="BKM9" s="501"/>
      <c r="BKN9" s="501"/>
      <c r="BKO9" s="501"/>
      <c r="BKP9" s="501"/>
      <c r="BKQ9" s="501"/>
      <c r="BKR9" s="501"/>
      <c r="BKS9" s="501"/>
      <c r="BKT9" s="501"/>
      <c r="BKU9" s="501"/>
      <c r="BKV9" s="501"/>
      <c r="BKW9" s="501"/>
      <c r="BKX9" s="501"/>
      <c r="BKY9" s="501"/>
      <c r="BKZ9" s="501"/>
      <c r="BLA9" s="501"/>
      <c r="BLB9" s="501"/>
      <c r="BLC9" s="501"/>
      <c r="BLD9" s="501"/>
      <c r="BLE9" s="501"/>
      <c r="BLF9" s="501"/>
      <c r="BLG9" s="501"/>
      <c r="BLH9" s="501"/>
      <c r="BLI9" s="501"/>
      <c r="BLJ9" s="501"/>
      <c r="BLK9" s="501"/>
      <c r="BLL9" s="501"/>
      <c r="BLM9" s="501"/>
      <c r="BLN9" s="501"/>
      <c r="BLO9" s="501"/>
      <c r="BLP9" s="501"/>
      <c r="BLQ9" s="501"/>
      <c r="BLR9" s="501"/>
      <c r="BLS9" s="501"/>
      <c r="BLT9" s="501"/>
      <c r="BLU9" s="501"/>
      <c r="BLV9" s="501"/>
      <c r="BLW9" s="501"/>
      <c r="BLX9" s="501"/>
      <c r="BLY9" s="501"/>
      <c r="BLZ9" s="501"/>
      <c r="BMA9" s="501"/>
      <c r="BMB9" s="501"/>
      <c r="BMC9" s="501"/>
      <c r="BMD9" s="501"/>
      <c r="BME9" s="501"/>
      <c r="BMF9" s="501"/>
      <c r="BMG9" s="501"/>
      <c r="BMH9" s="501"/>
      <c r="BMI9" s="501"/>
      <c r="BMJ9" s="501"/>
      <c r="BMK9" s="501"/>
      <c r="BML9" s="501"/>
      <c r="BMM9" s="501"/>
      <c r="BMN9" s="501"/>
      <c r="BMO9" s="501"/>
      <c r="BMP9" s="501"/>
      <c r="BMQ9" s="501"/>
      <c r="BMR9" s="501"/>
      <c r="BMS9" s="501"/>
      <c r="BMT9" s="501"/>
      <c r="BMU9" s="501"/>
      <c r="BMV9" s="501"/>
      <c r="BMW9" s="501"/>
      <c r="BMX9" s="501"/>
      <c r="BMY9" s="501"/>
      <c r="BMZ9" s="501"/>
      <c r="BNA9" s="501"/>
      <c r="BNB9" s="501"/>
      <c r="BNC9" s="501"/>
      <c r="BND9" s="501"/>
      <c r="BNE9" s="501"/>
      <c r="BNF9" s="501"/>
      <c r="BNG9" s="501"/>
      <c r="BNH9" s="501"/>
      <c r="BNI9" s="501"/>
      <c r="BNJ9" s="501"/>
      <c r="BNK9" s="501"/>
      <c r="BNL9" s="501"/>
      <c r="BNM9" s="501"/>
      <c r="BNN9" s="501"/>
      <c r="BNO9" s="501"/>
      <c r="BNP9" s="501"/>
      <c r="BNQ9" s="501"/>
      <c r="BNR9" s="501"/>
      <c r="BNS9" s="501"/>
      <c r="BNT9" s="501"/>
      <c r="BNU9" s="501"/>
      <c r="BNV9" s="501"/>
      <c r="BNW9" s="501"/>
      <c r="BNX9" s="501"/>
      <c r="BNY9" s="501"/>
      <c r="BNZ9" s="501"/>
      <c r="BOA9" s="501"/>
      <c r="BOB9" s="501"/>
      <c r="BOC9" s="501"/>
      <c r="BOD9" s="501"/>
      <c r="BOE9" s="501"/>
      <c r="BOF9" s="501"/>
      <c r="BOG9" s="501"/>
      <c r="BOH9" s="501"/>
      <c r="BOI9" s="501"/>
      <c r="BOJ9" s="501"/>
      <c r="BOK9" s="501"/>
      <c r="BOL9" s="501"/>
      <c r="BOM9" s="501"/>
      <c r="BON9" s="501"/>
      <c r="BOO9" s="501"/>
      <c r="BOP9" s="501"/>
      <c r="BOQ9" s="501"/>
      <c r="BOR9" s="501"/>
      <c r="BOS9" s="501"/>
      <c r="BOT9" s="501"/>
      <c r="BOU9" s="501"/>
      <c r="BOV9" s="501"/>
      <c r="BOW9" s="501"/>
      <c r="BOX9" s="501"/>
      <c r="BOY9" s="501"/>
      <c r="BOZ9" s="501"/>
      <c r="BPA9" s="501"/>
      <c r="BPB9" s="501"/>
      <c r="BPC9" s="501"/>
      <c r="BPD9" s="501"/>
      <c r="BPE9" s="501"/>
      <c r="BPF9" s="501"/>
      <c r="BPG9" s="501"/>
      <c r="BPH9" s="501"/>
      <c r="BPI9" s="501"/>
      <c r="BPJ9" s="501"/>
      <c r="BPK9" s="501"/>
      <c r="BPL9" s="501"/>
      <c r="BPM9" s="501"/>
      <c r="BPN9" s="501"/>
      <c r="BPO9" s="501"/>
      <c r="BPP9" s="501"/>
      <c r="BPQ9" s="501"/>
      <c r="BPR9" s="501"/>
      <c r="BPS9" s="501"/>
      <c r="BPT9" s="501"/>
      <c r="BPU9" s="501"/>
      <c r="BPV9" s="501"/>
      <c r="BPW9" s="501"/>
      <c r="BPX9" s="501"/>
      <c r="BPY9" s="501"/>
      <c r="BPZ9" s="501"/>
      <c r="BQA9" s="501"/>
      <c r="BQB9" s="501"/>
      <c r="BQC9" s="501"/>
      <c r="BQD9" s="501"/>
      <c r="BQE9" s="501"/>
      <c r="BQF9" s="501"/>
      <c r="BQG9" s="501"/>
      <c r="BQH9" s="501"/>
      <c r="BQI9" s="501"/>
      <c r="BQJ9" s="501"/>
      <c r="BQK9" s="501"/>
      <c r="BQL9" s="501"/>
      <c r="BQM9" s="501"/>
      <c r="BQN9" s="501"/>
      <c r="BQO9" s="501"/>
      <c r="BQP9" s="501"/>
      <c r="BQQ9" s="501"/>
      <c r="BQR9" s="501"/>
      <c r="BQS9" s="501"/>
      <c r="BQT9" s="501"/>
      <c r="BQU9" s="501"/>
      <c r="BQV9" s="501"/>
      <c r="BQW9" s="501"/>
      <c r="BQX9" s="501"/>
      <c r="BQY9" s="501"/>
      <c r="BQZ9" s="501"/>
      <c r="BRA9" s="501"/>
      <c r="BRB9" s="501"/>
      <c r="BRC9" s="501"/>
      <c r="BRD9" s="501"/>
      <c r="BRE9" s="501"/>
      <c r="BRF9" s="501"/>
      <c r="BRG9" s="501"/>
      <c r="BRH9" s="501"/>
      <c r="BRI9" s="501"/>
      <c r="BRJ9" s="501"/>
      <c r="BRK9" s="501"/>
      <c r="BRL9" s="501"/>
      <c r="BRM9" s="501"/>
      <c r="BRN9" s="501"/>
      <c r="BRO9" s="501"/>
      <c r="BRP9" s="501"/>
      <c r="BRQ9" s="501"/>
      <c r="BRR9" s="501"/>
      <c r="BRS9" s="501"/>
      <c r="BRT9" s="501"/>
      <c r="BRU9" s="501"/>
      <c r="BRV9" s="501"/>
      <c r="BRW9" s="501"/>
      <c r="BRX9" s="501"/>
      <c r="BRY9" s="501"/>
      <c r="BRZ9" s="501"/>
      <c r="BSA9" s="501"/>
      <c r="BSB9" s="501"/>
      <c r="BSC9" s="501"/>
    </row>
    <row r="10" spans="1:1849" ht="15" x14ac:dyDescent="0.2">
      <c r="A10" s="503">
        <v>9</v>
      </c>
      <c r="B10" s="170" t="s">
        <v>25</v>
      </c>
      <c r="C10" s="548" t="s">
        <v>424</v>
      </c>
      <c r="D10" s="505" t="s">
        <v>26</v>
      </c>
      <c r="E10" s="505" t="s">
        <v>27</v>
      </c>
      <c r="F10" s="505">
        <v>40</v>
      </c>
      <c r="G10" s="505">
        <v>20</v>
      </c>
      <c r="H10" s="505">
        <v>38</v>
      </c>
      <c r="I10" s="505">
        <v>20</v>
      </c>
      <c r="J10" s="505">
        <v>1</v>
      </c>
      <c r="K10" s="505">
        <f t="shared" si="0"/>
        <v>800</v>
      </c>
      <c r="L10" s="505" t="s">
        <v>28</v>
      </c>
      <c r="M10" s="511" t="s">
        <v>259</v>
      </c>
      <c r="N10" s="170">
        <v>21.14049</v>
      </c>
      <c r="O10" s="170">
        <v>79.055300000000003</v>
      </c>
      <c r="P10" s="170">
        <v>60000</v>
      </c>
      <c r="Q10" s="170">
        <v>70000</v>
      </c>
      <c r="R10" s="170">
        <v>100000</v>
      </c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  <c r="EG10" s="167"/>
      <c r="EH10" s="167"/>
      <c r="EI10" s="167"/>
      <c r="EJ10" s="167"/>
      <c r="EK10" s="167"/>
      <c r="EL10" s="167"/>
      <c r="EM10" s="167"/>
      <c r="EN10" s="167"/>
      <c r="EO10" s="167"/>
      <c r="EP10" s="167"/>
      <c r="EQ10" s="167"/>
      <c r="ER10" s="167"/>
      <c r="ES10" s="167"/>
      <c r="ET10" s="167"/>
      <c r="EU10" s="167"/>
      <c r="EV10" s="167"/>
      <c r="EW10" s="167"/>
      <c r="EX10" s="167"/>
      <c r="EY10" s="167"/>
      <c r="EZ10" s="167"/>
      <c r="FA10" s="167"/>
      <c r="FB10" s="167"/>
      <c r="FC10" s="167"/>
      <c r="FD10" s="167"/>
      <c r="FE10" s="167"/>
      <c r="FF10" s="167"/>
      <c r="FG10" s="167"/>
      <c r="FH10" s="167"/>
      <c r="FI10" s="167"/>
      <c r="FJ10" s="167"/>
      <c r="FK10" s="167"/>
      <c r="FL10" s="167"/>
      <c r="FM10" s="167"/>
      <c r="FN10" s="167"/>
      <c r="FO10" s="167"/>
      <c r="FP10" s="167"/>
      <c r="FQ10" s="167"/>
      <c r="FR10" s="167"/>
      <c r="FS10" s="167"/>
      <c r="FT10" s="167"/>
      <c r="FU10" s="167"/>
      <c r="FV10" s="167"/>
      <c r="FW10" s="167"/>
      <c r="FX10" s="167"/>
      <c r="FY10" s="167"/>
      <c r="FZ10" s="167"/>
      <c r="GA10" s="167"/>
      <c r="GB10" s="167"/>
      <c r="GC10" s="167"/>
      <c r="GD10" s="167"/>
      <c r="GE10" s="167"/>
      <c r="GF10" s="167"/>
      <c r="GG10" s="167"/>
      <c r="GH10" s="167"/>
      <c r="GI10" s="167"/>
      <c r="GJ10" s="167"/>
      <c r="GK10" s="167"/>
      <c r="GL10" s="167"/>
      <c r="GM10" s="167"/>
      <c r="GN10" s="167"/>
      <c r="GO10" s="167"/>
      <c r="GP10" s="167"/>
      <c r="GQ10" s="167"/>
      <c r="GR10" s="167"/>
      <c r="GS10" s="167"/>
      <c r="GT10" s="167"/>
      <c r="GU10" s="167"/>
      <c r="GV10" s="167"/>
      <c r="GW10" s="167"/>
      <c r="GX10" s="167"/>
      <c r="GY10" s="167"/>
      <c r="GZ10" s="167"/>
      <c r="HA10" s="167"/>
      <c r="HB10" s="167"/>
      <c r="HC10" s="167"/>
      <c r="HD10" s="167"/>
      <c r="HE10" s="167"/>
      <c r="HF10" s="167"/>
      <c r="HG10" s="167"/>
      <c r="HH10" s="167"/>
      <c r="HI10" s="167"/>
      <c r="HJ10" s="167"/>
      <c r="HK10" s="167"/>
      <c r="HL10" s="167"/>
      <c r="HM10" s="167"/>
      <c r="HN10" s="167"/>
      <c r="HO10" s="167"/>
      <c r="HP10" s="167"/>
      <c r="HQ10" s="167"/>
      <c r="HR10" s="167"/>
      <c r="HS10" s="167"/>
      <c r="HT10" s="167"/>
      <c r="HU10" s="167"/>
      <c r="HV10" s="167"/>
      <c r="HW10" s="167"/>
      <c r="HX10" s="167"/>
      <c r="HY10" s="167"/>
      <c r="HZ10" s="167"/>
      <c r="IA10" s="167"/>
      <c r="IB10" s="167"/>
      <c r="IC10" s="167"/>
      <c r="ID10" s="167"/>
      <c r="IE10" s="167"/>
      <c r="IF10" s="167"/>
      <c r="IG10" s="167"/>
      <c r="IH10" s="167"/>
      <c r="II10" s="167"/>
      <c r="IJ10" s="167"/>
      <c r="IK10" s="167"/>
      <c r="IL10" s="167"/>
      <c r="IM10" s="167"/>
      <c r="IN10" s="167"/>
      <c r="IO10" s="167"/>
      <c r="IP10" s="167"/>
      <c r="IQ10" s="167"/>
      <c r="IR10" s="167"/>
      <c r="IS10" s="167"/>
      <c r="IT10" s="167"/>
      <c r="IU10" s="167"/>
      <c r="IV10" s="167"/>
      <c r="IW10" s="167"/>
      <c r="IX10" s="167"/>
      <c r="IY10" s="167"/>
      <c r="IZ10" s="167"/>
      <c r="JA10" s="167"/>
      <c r="JB10" s="167"/>
      <c r="JC10" s="167"/>
      <c r="JD10" s="167"/>
      <c r="JE10" s="167"/>
      <c r="JF10" s="167"/>
      <c r="JG10" s="167"/>
      <c r="JH10" s="167"/>
      <c r="JI10" s="167"/>
      <c r="JJ10" s="167"/>
      <c r="JK10" s="167"/>
      <c r="JL10" s="167"/>
      <c r="JM10" s="167"/>
      <c r="JN10" s="167"/>
      <c r="JO10" s="167"/>
      <c r="JP10" s="167"/>
      <c r="JQ10" s="167"/>
      <c r="JR10" s="167"/>
      <c r="JS10" s="167"/>
      <c r="JT10" s="167"/>
      <c r="JU10" s="167"/>
      <c r="JV10" s="167"/>
      <c r="JW10" s="167"/>
      <c r="JX10" s="167"/>
      <c r="JY10" s="167"/>
      <c r="JZ10" s="167"/>
      <c r="KA10" s="167"/>
      <c r="KB10" s="167"/>
      <c r="KC10" s="167"/>
      <c r="KD10" s="167"/>
      <c r="KE10" s="167"/>
      <c r="KF10" s="167"/>
      <c r="KG10" s="167"/>
      <c r="KH10" s="167"/>
      <c r="KI10" s="167"/>
      <c r="KJ10" s="167"/>
      <c r="KK10" s="167"/>
      <c r="KL10" s="167"/>
      <c r="KM10" s="167"/>
      <c r="KN10" s="167"/>
      <c r="KO10" s="167"/>
      <c r="KP10" s="167"/>
      <c r="KQ10" s="167"/>
      <c r="KR10" s="167"/>
      <c r="KS10" s="167"/>
      <c r="KT10" s="167"/>
      <c r="KU10" s="167"/>
      <c r="KV10" s="167"/>
      <c r="KW10" s="167"/>
      <c r="KX10" s="167"/>
      <c r="KY10" s="167"/>
      <c r="KZ10" s="167"/>
      <c r="LA10" s="167"/>
      <c r="LB10" s="167"/>
      <c r="LC10" s="167"/>
      <c r="LD10" s="167"/>
      <c r="LE10" s="167"/>
      <c r="LF10" s="167"/>
      <c r="LG10" s="167"/>
      <c r="LH10" s="167"/>
      <c r="LI10" s="167"/>
      <c r="LJ10" s="167"/>
      <c r="LK10" s="167"/>
      <c r="LL10" s="167"/>
      <c r="LM10" s="167"/>
      <c r="LN10" s="167"/>
      <c r="LO10" s="167"/>
      <c r="LP10" s="167"/>
      <c r="LQ10" s="167"/>
      <c r="LR10" s="167"/>
      <c r="LS10" s="167"/>
      <c r="LT10" s="167"/>
      <c r="LU10" s="167"/>
      <c r="LV10" s="167"/>
      <c r="LW10" s="167"/>
      <c r="LX10" s="167"/>
      <c r="LY10" s="167"/>
      <c r="LZ10" s="167"/>
      <c r="MA10" s="167"/>
      <c r="MB10" s="167"/>
      <c r="MC10" s="167"/>
      <c r="MD10" s="167"/>
      <c r="ME10" s="167"/>
      <c r="MF10" s="167"/>
      <c r="MG10" s="167"/>
      <c r="MH10" s="167"/>
      <c r="MI10" s="167"/>
      <c r="MJ10" s="167"/>
      <c r="MK10" s="167"/>
      <c r="ML10" s="167"/>
      <c r="MM10" s="167"/>
      <c r="MN10" s="167"/>
      <c r="MO10" s="167"/>
      <c r="MP10" s="167"/>
      <c r="MQ10" s="167"/>
      <c r="MR10" s="167"/>
      <c r="MS10" s="167"/>
      <c r="MT10" s="167"/>
      <c r="MU10" s="167"/>
      <c r="MV10" s="167"/>
      <c r="MW10" s="167"/>
      <c r="MX10" s="167"/>
      <c r="MY10" s="167"/>
      <c r="MZ10" s="167"/>
      <c r="NA10" s="167"/>
      <c r="NB10" s="167"/>
      <c r="NC10" s="167"/>
      <c r="ND10" s="167"/>
      <c r="NE10" s="167"/>
      <c r="NF10" s="167"/>
      <c r="NG10" s="167"/>
      <c r="NH10" s="167"/>
      <c r="NI10" s="167"/>
      <c r="NJ10" s="167"/>
      <c r="NK10" s="167"/>
      <c r="NL10" s="167"/>
      <c r="NM10" s="167"/>
      <c r="NN10" s="167"/>
      <c r="NO10" s="167"/>
      <c r="NP10" s="167"/>
      <c r="NQ10" s="167"/>
      <c r="NR10" s="167"/>
      <c r="NS10" s="167"/>
      <c r="NT10" s="167"/>
      <c r="NU10" s="167"/>
      <c r="NV10" s="167"/>
      <c r="NW10" s="167"/>
      <c r="NX10" s="167"/>
      <c r="NY10" s="167"/>
      <c r="NZ10" s="167"/>
      <c r="OA10" s="167"/>
      <c r="OB10" s="167"/>
      <c r="OC10" s="167"/>
      <c r="OD10" s="167"/>
      <c r="OE10" s="167"/>
      <c r="OF10" s="167"/>
      <c r="OG10" s="167"/>
      <c r="OH10" s="167"/>
      <c r="OI10" s="167"/>
      <c r="OJ10" s="167"/>
      <c r="OK10" s="167"/>
      <c r="OL10" s="167"/>
      <c r="OM10" s="167"/>
      <c r="ON10" s="167"/>
      <c r="OO10" s="167"/>
      <c r="OP10" s="167"/>
      <c r="OQ10" s="167"/>
      <c r="OR10" s="167"/>
      <c r="OS10" s="167"/>
      <c r="OT10" s="167"/>
      <c r="OU10" s="167"/>
      <c r="OV10" s="167"/>
      <c r="OW10" s="167"/>
      <c r="OX10" s="167"/>
      <c r="OY10" s="167"/>
      <c r="OZ10" s="167"/>
      <c r="PA10" s="167"/>
      <c r="PB10" s="167"/>
      <c r="PC10" s="167"/>
      <c r="PD10" s="167"/>
      <c r="PE10" s="167"/>
      <c r="PF10" s="167"/>
      <c r="PG10" s="167"/>
      <c r="PH10" s="167"/>
      <c r="PI10" s="167"/>
      <c r="PJ10" s="167"/>
      <c r="PK10" s="167"/>
      <c r="PL10" s="167"/>
      <c r="PM10" s="167"/>
      <c r="PN10" s="167"/>
      <c r="PO10" s="167"/>
      <c r="PP10" s="167"/>
      <c r="PQ10" s="167"/>
      <c r="PR10" s="167"/>
      <c r="PS10" s="167"/>
      <c r="PT10" s="167"/>
      <c r="PU10" s="167"/>
      <c r="PV10" s="167"/>
      <c r="PW10" s="167"/>
      <c r="PX10" s="167"/>
      <c r="PY10" s="167"/>
      <c r="PZ10" s="167"/>
      <c r="QA10" s="167"/>
      <c r="QB10" s="167"/>
      <c r="QC10" s="167"/>
      <c r="QD10" s="167"/>
      <c r="QE10" s="167"/>
      <c r="QF10" s="167"/>
      <c r="QG10" s="167"/>
      <c r="QH10" s="167"/>
      <c r="QI10" s="167"/>
      <c r="QJ10" s="167"/>
      <c r="QK10" s="167"/>
      <c r="QL10" s="167"/>
      <c r="QM10" s="167"/>
      <c r="QN10" s="167"/>
      <c r="QO10" s="167"/>
      <c r="QP10" s="167"/>
      <c r="QQ10" s="167"/>
      <c r="QR10" s="167"/>
      <c r="QS10" s="167"/>
      <c r="QT10" s="167"/>
      <c r="QU10" s="167"/>
      <c r="QV10" s="167"/>
      <c r="QW10" s="167"/>
      <c r="QX10" s="167"/>
      <c r="QY10" s="167"/>
      <c r="QZ10" s="167"/>
      <c r="RA10" s="167"/>
      <c r="RB10" s="167"/>
      <c r="RC10" s="167"/>
      <c r="RD10" s="167"/>
      <c r="RE10" s="167"/>
      <c r="RF10" s="167"/>
      <c r="RG10" s="167"/>
      <c r="RH10" s="167"/>
      <c r="RI10" s="167"/>
      <c r="RJ10" s="167"/>
      <c r="RK10" s="167"/>
      <c r="RL10" s="167"/>
      <c r="RM10" s="167"/>
      <c r="RN10" s="167"/>
      <c r="RO10" s="167"/>
      <c r="RP10" s="167"/>
      <c r="RQ10" s="167"/>
      <c r="RR10" s="167"/>
      <c r="RS10" s="167"/>
      <c r="RT10" s="167"/>
      <c r="RU10" s="167"/>
      <c r="RV10" s="167"/>
      <c r="RW10" s="167"/>
      <c r="RX10" s="167"/>
      <c r="RY10" s="167"/>
      <c r="RZ10" s="167"/>
      <c r="SA10" s="167"/>
      <c r="SB10" s="167"/>
      <c r="SC10" s="167"/>
      <c r="SD10" s="167"/>
      <c r="SE10" s="167"/>
      <c r="SF10" s="167"/>
      <c r="SG10" s="167"/>
      <c r="SH10" s="167"/>
      <c r="SI10" s="167"/>
      <c r="SJ10" s="167"/>
      <c r="SK10" s="167"/>
      <c r="SL10" s="167"/>
      <c r="SM10" s="167"/>
      <c r="SN10" s="167"/>
      <c r="SO10" s="167"/>
      <c r="SP10" s="167"/>
      <c r="SQ10" s="167"/>
      <c r="SR10" s="167"/>
      <c r="SS10" s="167"/>
      <c r="ST10" s="167"/>
      <c r="SU10" s="167"/>
      <c r="SV10" s="167"/>
      <c r="SW10" s="167"/>
      <c r="SX10" s="167"/>
      <c r="SY10" s="167"/>
      <c r="SZ10" s="167"/>
      <c r="TA10" s="167"/>
      <c r="TB10" s="167"/>
      <c r="TC10" s="167"/>
      <c r="TD10" s="167"/>
      <c r="TE10" s="167"/>
      <c r="TF10" s="167"/>
      <c r="TG10" s="167"/>
      <c r="TH10" s="167"/>
      <c r="TI10" s="167"/>
      <c r="TJ10" s="167"/>
      <c r="TK10" s="167"/>
      <c r="TL10" s="167"/>
      <c r="TM10" s="167"/>
      <c r="TN10" s="167"/>
      <c r="TO10" s="167"/>
      <c r="TP10" s="167"/>
      <c r="TQ10" s="167"/>
      <c r="TR10" s="167"/>
      <c r="TS10" s="167"/>
      <c r="TT10" s="167"/>
      <c r="TU10" s="167"/>
      <c r="TV10" s="167"/>
      <c r="TW10" s="167"/>
      <c r="TX10" s="167"/>
      <c r="TY10" s="167"/>
      <c r="TZ10" s="167"/>
      <c r="UA10" s="167"/>
      <c r="UB10" s="167"/>
      <c r="UC10" s="167"/>
      <c r="UD10" s="167"/>
      <c r="UE10" s="167"/>
      <c r="UF10" s="167"/>
      <c r="UG10" s="167"/>
      <c r="UH10" s="167"/>
      <c r="UI10" s="167"/>
      <c r="UJ10" s="167"/>
      <c r="UK10" s="167"/>
      <c r="UL10" s="167"/>
      <c r="UM10" s="167"/>
      <c r="UN10" s="167"/>
      <c r="UO10" s="167"/>
      <c r="UP10" s="167"/>
      <c r="UQ10" s="167"/>
      <c r="UR10" s="167"/>
      <c r="US10" s="167"/>
      <c r="UT10" s="167"/>
      <c r="UU10" s="167"/>
      <c r="UV10" s="167"/>
      <c r="UW10" s="167"/>
      <c r="UX10" s="167"/>
      <c r="UY10" s="167"/>
      <c r="UZ10" s="167"/>
      <c r="VA10" s="167"/>
      <c r="VB10" s="167"/>
      <c r="VC10" s="167"/>
      <c r="VD10" s="167"/>
      <c r="VE10" s="167"/>
      <c r="VF10" s="167"/>
      <c r="VG10" s="167"/>
      <c r="VH10" s="167"/>
      <c r="VI10" s="167"/>
      <c r="VJ10" s="167"/>
      <c r="VK10" s="167"/>
      <c r="VL10" s="167"/>
      <c r="VM10" s="167"/>
      <c r="VN10" s="167"/>
      <c r="VO10" s="167"/>
      <c r="VP10" s="167"/>
      <c r="VQ10" s="167"/>
      <c r="VR10" s="167"/>
      <c r="VS10" s="167"/>
      <c r="VT10" s="167"/>
      <c r="VU10" s="167"/>
      <c r="VV10" s="167"/>
      <c r="VW10" s="167"/>
      <c r="VX10" s="167"/>
      <c r="VY10" s="167"/>
      <c r="VZ10" s="167"/>
      <c r="WA10" s="167"/>
      <c r="WB10" s="167"/>
      <c r="WC10" s="167"/>
      <c r="WD10" s="167"/>
      <c r="WE10" s="167"/>
      <c r="WF10" s="167"/>
      <c r="WG10" s="167"/>
      <c r="WH10" s="167"/>
      <c r="WI10" s="167"/>
      <c r="WJ10" s="167"/>
      <c r="WK10" s="167"/>
      <c r="WL10" s="167"/>
      <c r="WM10" s="167"/>
      <c r="WN10" s="167"/>
      <c r="WO10" s="167"/>
      <c r="WP10" s="167"/>
      <c r="WQ10" s="167"/>
      <c r="WR10" s="167"/>
      <c r="WS10" s="167"/>
      <c r="WT10" s="167"/>
      <c r="WU10" s="167"/>
      <c r="WV10" s="167"/>
      <c r="WW10" s="167"/>
      <c r="WX10" s="167"/>
      <c r="WY10" s="167"/>
      <c r="WZ10" s="167"/>
      <c r="XA10" s="167"/>
      <c r="XB10" s="167"/>
      <c r="XC10" s="167"/>
      <c r="XD10" s="167"/>
      <c r="XE10" s="167"/>
      <c r="XF10" s="167"/>
      <c r="XG10" s="167"/>
      <c r="XH10" s="167"/>
      <c r="XI10" s="167"/>
      <c r="XJ10" s="167"/>
      <c r="XK10" s="167"/>
      <c r="XL10" s="167"/>
      <c r="XM10" s="167"/>
      <c r="XN10" s="167"/>
      <c r="XO10" s="167"/>
      <c r="XP10" s="167"/>
      <c r="XQ10" s="167"/>
      <c r="XR10" s="167"/>
      <c r="XS10" s="167"/>
      <c r="XT10" s="167"/>
      <c r="XU10" s="167"/>
      <c r="XV10" s="167"/>
      <c r="XW10" s="167"/>
      <c r="XX10" s="167"/>
      <c r="XY10" s="167"/>
      <c r="XZ10" s="167"/>
      <c r="YA10" s="167"/>
      <c r="YB10" s="167"/>
      <c r="YC10" s="167"/>
      <c r="YD10" s="167"/>
      <c r="YE10" s="167"/>
      <c r="YF10" s="167"/>
      <c r="YG10" s="167"/>
      <c r="YH10" s="167"/>
      <c r="YI10" s="167"/>
      <c r="YJ10" s="167"/>
      <c r="YK10" s="167"/>
      <c r="YL10" s="167"/>
      <c r="YM10" s="167"/>
      <c r="YN10" s="167"/>
      <c r="YO10" s="167"/>
      <c r="YP10" s="167"/>
      <c r="YQ10" s="167"/>
      <c r="YR10" s="167"/>
      <c r="YS10" s="167"/>
      <c r="YT10" s="167"/>
      <c r="YU10" s="167"/>
      <c r="YV10" s="167"/>
      <c r="YW10" s="167"/>
      <c r="YX10" s="167"/>
      <c r="YY10" s="167"/>
      <c r="YZ10" s="167"/>
      <c r="ZA10" s="167"/>
      <c r="ZB10" s="167"/>
      <c r="ZC10" s="167"/>
      <c r="ZD10" s="167"/>
      <c r="ZE10" s="167"/>
      <c r="ZF10" s="167"/>
      <c r="ZG10" s="167"/>
      <c r="ZH10" s="167"/>
      <c r="ZI10" s="167"/>
      <c r="ZJ10" s="167"/>
      <c r="ZK10" s="167"/>
      <c r="ZL10" s="167"/>
      <c r="ZM10" s="167"/>
      <c r="ZN10" s="167"/>
      <c r="ZO10" s="167"/>
      <c r="ZP10" s="167"/>
      <c r="ZQ10" s="167"/>
      <c r="ZR10" s="167"/>
      <c r="ZS10" s="167"/>
      <c r="ZT10" s="167"/>
      <c r="ZU10" s="167"/>
      <c r="ZV10" s="167"/>
      <c r="ZW10" s="167"/>
      <c r="ZX10" s="167"/>
      <c r="ZY10" s="167"/>
      <c r="ZZ10" s="167"/>
      <c r="AAA10" s="167"/>
      <c r="AAB10" s="167"/>
      <c r="AAC10" s="167"/>
      <c r="AAD10" s="167"/>
      <c r="AAE10" s="167"/>
      <c r="AAF10" s="167"/>
      <c r="AAG10" s="167"/>
      <c r="AAH10" s="167"/>
      <c r="AAI10" s="167"/>
      <c r="AAJ10" s="167"/>
      <c r="AAK10" s="167"/>
      <c r="AAL10" s="167"/>
      <c r="AAM10" s="167"/>
      <c r="AAN10" s="167"/>
      <c r="AAO10" s="167"/>
      <c r="AAP10" s="167"/>
      <c r="AAQ10" s="167"/>
      <c r="AAR10" s="167"/>
      <c r="AAS10" s="167"/>
      <c r="AAT10" s="167"/>
      <c r="AAU10" s="167"/>
      <c r="AAV10" s="167"/>
      <c r="AAW10" s="167"/>
      <c r="AAX10" s="167"/>
      <c r="AAY10" s="167"/>
      <c r="AAZ10" s="167"/>
      <c r="ABA10" s="167"/>
      <c r="ABB10" s="167"/>
      <c r="ABC10" s="167"/>
      <c r="ABD10" s="167"/>
      <c r="ABE10" s="167"/>
      <c r="ABF10" s="167"/>
      <c r="ABG10" s="167"/>
      <c r="ABH10" s="167"/>
      <c r="ABI10" s="167"/>
      <c r="ABJ10" s="167"/>
      <c r="ABK10" s="167"/>
      <c r="ABL10" s="167"/>
      <c r="ABM10" s="167"/>
      <c r="ABN10" s="167"/>
      <c r="ABO10" s="167"/>
      <c r="ABP10" s="167"/>
      <c r="ABQ10" s="167"/>
      <c r="ABR10" s="167"/>
      <c r="ABS10" s="167"/>
      <c r="ABT10" s="167"/>
      <c r="ABU10" s="167"/>
      <c r="ABV10" s="167"/>
      <c r="ABW10" s="167"/>
      <c r="ABX10" s="167"/>
      <c r="ABY10" s="167"/>
      <c r="ABZ10" s="167"/>
      <c r="ACA10" s="167"/>
      <c r="ACB10" s="167"/>
      <c r="ACC10" s="167"/>
      <c r="ACD10" s="167"/>
      <c r="ACE10" s="167"/>
      <c r="ACF10" s="167"/>
      <c r="ACG10" s="167"/>
      <c r="ACH10" s="167"/>
      <c r="ACI10" s="167"/>
      <c r="ACJ10" s="167"/>
      <c r="ACK10" s="167"/>
      <c r="ACL10" s="167"/>
      <c r="ACM10" s="167"/>
      <c r="ACN10" s="167"/>
      <c r="ACO10" s="167"/>
      <c r="ACP10" s="167"/>
      <c r="ACQ10" s="167"/>
      <c r="ACR10" s="167"/>
      <c r="ACS10" s="167"/>
      <c r="ACT10" s="167"/>
      <c r="ACU10" s="167"/>
      <c r="ACV10" s="167"/>
      <c r="ACW10" s="167"/>
      <c r="ACX10" s="167"/>
      <c r="ACY10" s="167"/>
      <c r="ACZ10" s="167"/>
      <c r="ADA10" s="167"/>
      <c r="ADB10" s="167"/>
      <c r="ADC10" s="167"/>
      <c r="ADD10" s="167"/>
      <c r="ADE10" s="167"/>
      <c r="ADF10" s="167"/>
      <c r="ADG10" s="167"/>
      <c r="ADH10" s="167"/>
      <c r="ADI10" s="167"/>
      <c r="ADJ10" s="167"/>
      <c r="ADK10" s="167"/>
      <c r="ADL10" s="167"/>
      <c r="ADM10" s="167"/>
      <c r="ADN10" s="167"/>
      <c r="ADO10" s="167"/>
      <c r="ADP10" s="167"/>
      <c r="ADQ10" s="167"/>
      <c r="ADR10" s="167"/>
      <c r="ADS10" s="167"/>
      <c r="ADT10" s="167"/>
      <c r="ADU10" s="167"/>
      <c r="ADV10" s="167"/>
      <c r="ADW10" s="167"/>
      <c r="ADX10" s="167"/>
      <c r="ADY10" s="167"/>
      <c r="ADZ10" s="167"/>
      <c r="AEA10" s="167"/>
      <c r="AEB10" s="167"/>
      <c r="AEC10" s="167"/>
      <c r="AED10" s="167"/>
      <c r="AEE10" s="167"/>
      <c r="AEF10" s="167"/>
      <c r="AEG10" s="167"/>
      <c r="AEH10" s="167"/>
      <c r="AEI10" s="167"/>
      <c r="AEJ10" s="167"/>
      <c r="AEK10" s="167"/>
      <c r="AEL10" s="167"/>
      <c r="AEM10" s="167"/>
      <c r="AEN10" s="167"/>
      <c r="AEO10" s="167"/>
      <c r="AEP10" s="167"/>
      <c r="AEQ10" s="167"/>
      <c r="AER10" s="167"/>
      <c r="AES10" s="167"/>
      <c r="AET10" s="167"/>
      <c r="AEU10" s="167"/>
      <c r="AEV10" s="167"/>
      <c r="AEW10" s="167"/>
      <c r="AEX10" s="167"/>
      <c r="AEY10" s="167"/>
      <c r="AEZ10" s="167"/>
      <c r="AFA10" s="167"/>
      <c r="AFB10" s="167"/>
      <c r="AFC10" s="167"/>
      <c r="AFD10" s="167"/>
      <c r="AFE10" s="167"/>
      <c r="AFF10" s="167"/>
      <c r="AFG10" s="167"/>
      <c r="AFH10" s="167"/>
      <c r="AFI10" s="167"/>
      <c r="AFJ10" s="167"/>
      <c r="AFK10" s="167"/>
      <c r="AFL10" s="167"/>
      <c r="AFM10" s="167"/>
      <c r="AFN10" s="167"/>
      <c r="AFO10" s="167"/>
      <c r="AFP10" s="167"/>
      <c r="AFQ10" s="167"/>
      <c r="AFR10" s="167"/>
      <c r="AFS10" s="167"/>
      <c r="AFT10" s="167"/>
      <c r="AFU10" s="167"/>
      <c r="AFV10" s="167"/>
      <c r="AFW10" s="167"/>
      <c r="AFX10" s="167"/>
      <c r="AFY10" s="167"/>
      <c r="AFZ10" s="167"/>
      <c r="AGA10" s="167"/>
      <c r="AGB10" s="167"/>
      <c r="AGC10" s="167"/>
      <c r="AGD10" s="167"/>
      <c r="AGE10" s="167"/>
      <c r="AGF10" s="167"/>
      <c r="AGG10" s="167"/>
      <c r="AGH10" s="167"/>
      <c r="AGI10" s="167"/>
      <c r="AGJ10" s="167"/>
      <c r="AGK10" s="167"/>
      <c r="AGL10" s="167"/>
      <c r="AGM10" s="167"/>
      <c r="AGN10" s="167"/>
      <c r="AGO10" s="167"/>
      <c r="AGP10" s="167"/>
      <c r="AGQ10" s="167"/>
      <c r="AGR10" s="167"/>
      <c r="AGS10" s="167"/>
      <c r="AGT10" s="167"/>
      <c r="AGU10" s="167"/>
      <c r="AGV10" s="167"/>
      <c r="AGW10" s="167"/>
      <c r="AGX10" s="167"/>
      <c r="AGY10" s="167"/>
      <c r="AGZ10" s="167"/>
      <c r="AHA10" s="167"/>
      <c r="AHB10" s="167"/>
      <c r="AHC10" s="167"/>
      <c r="AHD10" s="167"/>
      <c r="AHE10" s="167"/>
      <c r="AHF10" s="167"/>
      <c r="AHG10" s="167"/>
      <c r="AHH10" s="167"/>
      <c r="AHI10" s="167"/>
      <c r="AHJ10" s="167"/>
      <c r="AHK10" s="167"/>
      <c r="AHL10" s="167"/>
      <c r="AHM10" s="167"/>
      <c r="AHN10" s="167"/>
      <c r="AHO10" s="167"/>
      <c r="AHP10" s="167"/>
      <c r="AHQ10" s="167"/>
      <c r="AHR10" s="167"/>
      <c r="AHS10" s="167"/>
      <c r="AHT10" s="167"/>
      <c r="AHU10" s="167"/>
      <c r="AHV10" s="167"/>
      <c r="AHW10" s="167"/>
      <c r="AHX10" s="167"/>
      <c r="AHY10" s="167"/>
      <c r="AHZ10" s="167"/>
      <c r="AIA10" s="167"/>
      <c r="AIB10" s="167"/>
      <c r="AIC10" s="167"/>
      <c r="AID10" s="167"/>
      <c r="AIE10" s="167"/>
      <c r="AIF10" s="167"/>
      <c r="AIG10" s="167"/>
      <c r="AIH10" s="167"/>
      <c r="AII10" s="167"/>
      <c r="AIJ10" s="167"/>
      <c r="AIK10" s="167"/>
      <c r="AIL10" s="167"/>
      <c r="AIM10" s="167"/>
      <c r="AIN10" s="167"/>
      <c r="AIO10" s="167"/>
      <c r="AIP10" s="167"/>
      <c r="AIQ10" s="167"/>
      <c r="AIR10" s="167"/>
      <c r="AIS10" s="167"/>
      <c r="AIT10" s="167"/>
      <c r="AIU10" s="167"/>
      <c r="AIV10" s="167"/>
      <c r="AIW10" s="167"/>
      <c r="AIX10" s="167"/>
      <c r="AIY10" s="167"/>
      <c r="AIZ10" s="167"/>
      <c r="AJA10" s="167"/>
      <c r="AJB10" s="167"/>
      <c r="AJC10" s="167"/>
      <c r="AJD10" s="167"/>
      <c r="AJE10" s="167"/>
      <c r="AJF10" s="167"/>
      <c r="AJG10" s="167"/>
      <c r="AJH10" s="167"/>
      <c r="AJI10" s="167"/>
      <c r="AJJ10" s="167"/>
      <c r="AJK10" s="167"/>
      <c r="AJL10" s="167"/>
      <c r="AJM10" s="167"/>
      <c r="AJN10" s="167"/>
      <c r="AJO10" s="167"/>
      <c r="AJP10" s="167"/>
      <c r="AJQ10" s="167"/>
      <c r="AJR10" s="167"/>
      <c r="AJS10" s="167"/>
      <c r="AJT10" s="167"/>
      <c r="AJU10" s="167"/>
      <c r="AJV10" s="167"/>
      <c r="AJW10" s="167"/>
      <c r="AJX10" s="167"/>
      <c r="AJY10" s="167"/>
      <c r="AJZ10" s="167"/>
      <c r="AKA10" s="167"/>
      <c r="AKB10" s="167"/>
      <c r="AKC10" s="167"/>
      <c r="AKD10" s="167"/>
      <c r="AKE10" s="167"/>
      <c r="AKF10" s="167"/>
      <c r="AKG10" s="167"/>
      <c r="AKH10" s="167"/>
      <c r="AKI10" s="167"/>
      <c r="AKJ10" s="167"/>
      <c r="AKK10" s="167"/>
      <c r="AKL10" s="167"/>
      <c r="AKM10" s="167"/>
      <c r="AKN10" s="167"/>
      <c r="AKO10" s="167"/>
      <c r="AKP10" s="167"/>
      <c r="AKQ10" s="167"/>
      <c r="AKR10" s="167"/>
      <c r="AKS10" s="167"/>
      <c r="AKT10" s="167"/>
      <c r="AKU10" s="167"/>
      <c r="AKV10" s="167"/>
      <c r="AKW10" s="167"/>
      <c r="AKX10" s="167"/>
      <c r="AKY10" s="167"/>
      <c r="AKZ10" s="167"/>
      <c r="ALA10" s="167"/>
      <c r="ALB10" s="167"/>
      <c r="ALC10" s="167"/>
      <c r="ALD10" s="167"/>
      <c r="ALE10" s="167"/>
      <c r="ALF10" s="167"/>
      <c r="ALG10" s="167"/>
      <c r="ALH10" s="167"/>
      <c r="ALI10" s="167"/>
      <c r="ALJ10" s="167"/>
      <c r="ALK10" s="167"/>
      <c r="ALL10" s="167"/>
      <c r="ALM10" s="167"/>
      <c r="ALN10" s="167"/>
      <c r="ALO10" s="167"/>
      <c r="ALP10" s="167"/>
      <c r="ALQ10" s="167"/>
      <c r="ALR10" s="167"/>
      <c r="ALS10" s="167"/>
      <c r="ALT10" s="167"/>
      <c r="ALU10" s="167"/>
      <c r="ALV10" s="167"/>
      <c r="ALW10" s="167"/>
      <c r="ALX10" s="167"/>
      <c r="ALY10" s="167"/>
      <c r="ALZ10" s="167"/>
      <c r="AMA10" s="167"/>
      <c r="AMB10" s="167"/>
      <c r="AMC10" s="167"/>
      <c r="AMD10" s="167"/>
      <c r="AME10" s="167"/>
      <c r="AMF10" s="167"/>
      <c r="AMG10" s="167"/>
      <c r="AMH10" s="167"/>
      <c r="AMI10" s="167"/>
      <c r="AMJ10" s="167"/>
      <c r="AMK10" s="167"/>
      <c r="AML10" s="167"/>
      <c r="AMM10" s="167"/>
      <c r="AMN10" s="167"/>
      <c r="AMO10" s="167"/>
      <c r="AMP10" s="167"/>
      <c r="AMQ10" s="167"/>
      <c r="AMR10" s="167"/>
      <c r="AMS10" s="167"/>
      <c r="AMT10" s="167"/>
      <c r="AMU10" s="167"/>
      <c r="AMV10" s="167"/>
      <c r="AMW10" s="167"/>
      <c r="AMX10" s="167"/>
      <c r="AMY10" s="167"/>
      <c r="AMZ10" s="167"/>
      <c r="ANA10" s="167"/>
      <c r="ANB10" s="167"/>
      <c r="ANC10" s="167"/>
      <c r="AND10" s="167"/>
      <c r="ANE10" s="167"/>
      <c r="ANF10" s="167"/>
      <c r="ANG10" s="167"/>
      <c r="ANH10" s="167"/>
      <c r="ANI10" s="167"/>
      <c r="ANJ10" s="167"/>
      <c r="ANK10" s="167"/>
      <c r="ANL10" s="167"/>
      <c r="ANM10" s="167"/>
      <c r="ANN10" s="167"/>
      <c r="ANO10" s="167"/>
      <c r="ANP10" s="167"/>
      <c r="ANQ10" s="167"/>
      <c r="ANR10" s="167"/>
      <c r="ANS10" s="167"/>
      <c r="ANT10" s="167"/>
      <c r="ANU10" s="167"/>
      <c r="ANV10" s="167"/>
      <c r="ANW10" s="167"/>
      <c r="ANX10" s="167"/>
      <c r="ANY10" s="167"/>
      <c r="ANZ10" s="167"/>
      <c r="AOA10" s="167"/>
      <c r="AOB10" s="167"/>
      <c r="AOC10" s="167"/>
      <c r="AOD10" s="167"/>
      <c r="AOE10" s="167"/>
      <c r="AOF10" s="167"/>
      <c r="AOG10" s="167"/>
      <c r="AOH10" s="167"/>
      <c r="AOI10" s="167"/>
      <c r="AOJ10" s="167"/>
      <c r="AOK10" s="167"/>
      <c r="AOL10" s="167"/>
      <c r="AOM10" s="167"/>
      <c r="AON10" s="167"/>
      <c r="AOO10" s="167"/>
      <c r="AOP10" s="167"/>
      <c r="AOQ10" s="167"/>
      <c r="AOR10" s="167"/>
      <c r="AOS10" s="167"/>
      <c r="AOT10" s="167"/>
      <c r="AOU10" s="167"/>
      <c r="AOV10" s="167"/>
      <c r="AOW10" s="167"/>
      <c r="AOX10" s="167"/>
      <c r="AOY10" s="167"/>
      <c r="AOZ10" s="167"/>
      <c r="APA10" s="167"/>
      <c r="APB10" s="167"/>
      <c r="APC10" s="167"/>
      <c r="APD10" s="167"/>
      <c r="APE10" s="167"/>
      <c r="APF10" s="167"/>
      <c r="APG10" s="167"/>
      <c r="APH10" s="167"/>
      <c r="API10" s="167"/>
      <c r="APJ10" s="167"/>
      <c r="APK10" s="167"/>
      <c r="APL10" s="167"/>
      <c r="APM10" s="167"/>
      <c r="APN10" s="167"/>
      <c r="APO10" s="167"/>
      <c r="APP10" s="167"/>
      <c r="APQ10" s="167"/>
      <c r="APR10" s="167"/>
      <c r="APS10" s="167"/>
      <c r="APT10" s="167"/>
      <c r="APU10" s="167"/>
      <c r="APV10" s="167"/>
      <c r="APW10" s="167"/>
      <c r="APX10" s="167"/>
      <c r="APY10" s="167"/>
      <c r="APZ10" s="167"/>
      <c r="AQA10" s="167"/>
      <c r="AQB10" s="167"/>
      <c r="AQC10" s="167"/>
      <c r="AQD10" s="167"/>
      <c r="AQE10" s="167"/>
      <c r="AQF10" s="167"/>
      <c r="AQG10" s="167"/>
      <c r="AQH10" s="167"/>
      <c r="AQI10" s="167"/>
      <c r="AQJ10" s="167"/>
      <c r="AQK10" s="167"/>
      <c r="AQL10" s="167"/>
      <c r="AQM10" s="167"/>
      <c r="AQN10" s="167"/>
      <c r="AQO10" s="167"/>
      <c r="AQP10" s="167"/>
      <c r="AQQ10" s="167"/>
      <c r="AQR10" s="167"/>
      <c r="AQS10" s="167"/>
      <c r="AQT10" s="167"/>
      <c r="AQU10" s="167"/>
      <c r="AQV10" s="167"/>
      <c r="AQW10" s="167"/>
      <c r="AQX10" s="167"/>
      <c r="AQY10" s="167"/>
      <c r="AQZ10" s="167"/>
      <c r="ARA10" s="167"/>
      <c r="ARB10" s="167"/>
      <c r="ARC10" s="167"/>
      <c r="ARD10" s="167"/>
      <c r="ARE10" s="167"/>
      <c r="ARF10" s="167"/>
      <c r="ARG10" s="167"/>
      <c r="ARH10" s="167"/>
      <c r="ARI10" s="167"/>
      <c r="ARJ10" s="167"/>
      <c r="ARK10" s="167"/>
      <c r="ARL10" s="167"/>
      <c r="ARM10" s="167"/>
      <c r="ARN10" s="167"/>
      <c r="ARO10" s="167"/>
      <c r="ARP10" s="167"/>
      <c r="ARQ10" s="167"/>
      <c r="ARR10" s="167"/>
      <c r="ARS10" s="167"/>
      <c r="ART10" s="167"/>
      <c r="ARU10" s="167"/>
      <c r="ARV10" s="167"/>
      <c r="ARW10" s="167"/>
      <c r="ARX10" s="167"/>
      <c r="ARY10" s="167"/>
      <c r="ARZ10" s="167"/>
      <c r="ASA10" s="167"/>
      <c r="ASB10" s="167"/>
      <c r="ASC10" s="167"/>
      <c r="ASD10" s="167"/>
      <c r="ASE10" s="167"/>
      <c r="ASF10" s="167"/>
      <c r="ASG10" s="167"/>
      <c r="ASH10" s="167"/>
      <c r="ASI10" s="167"/>
      <c r="ASJ10" s="167"/>
      <c r="ASK10" s="167"/>
      <c r="ASL10" s="167"/>
      <c r="ASM10" s="167"/>
      <c r="ASN10" s="167"/>
      <c r="ASO10" s="167"/>
      <c r="ASP10" s="167"/>
      <c r="ASQ10" s="167"/>
      <c r="ASR10" s="167"/>
      <c r="ASS10" s="167"/>
      <c r="AST10" s="167"/>
      <c r="ASU10" s="167"/>
      <c r="ASV10" s="167"/>
      <c r="ASW10" s="167"/>
      <c r="ASX10" s="167"/>
      <c r="ASY10" s="167"/>
      <c r="ASZ10" s="167"/>
      <c r="ATA10" s="167"/>
      <c r="ATB10" s="167"/>
      <c r="ATC10" s="167"/>
      <c r="ATD10" s="167"/>
      <c r="ATE10" s="167"/>
      <c r="ATF10" s="167"/>
      <c r="ATG10" s="167"/>
      <c r="ATH10" s="167"/>
      <c r="ATI10" s="167"/>
      <c r="ATJ10" s="167"/>
      <c r="ATK10" s="167"/>
      <c r="ATL10" s="167"/>
      <c r="ATM10" s="167"/>
      <c r="ATN10" s="167"/>
      <c r="ATO10" s="167"/>
      <c r="ATP10" s="167"/>
      <c r="ATQ10" s="167"/>
      <c r="ATR10" s="167"/>
      <c r="ATS10" s="167"/>
      <c r="ATT10" s="167"/>
      <c r="ATU10" s="167"/>
      <c r="ATV10" s="167"/>
      <c r="ATW10" s="167"/>
      <c r="ATX10" s="167"/>
      <c r="ATY10" s="167"/>
      <c r="ATZ10" s="167"/>
      <c r="AUA10" s="167"/>
      <c r="AUB10" s="167"/>
      <c r="AUC10" s="167"/>
      <c r="AUD10" s="167"/>
      <c r="AUE10" s="167"/>
      <c r="AUF10" s="167"/>
      <c r="AUG10" s="167"/>
      <c r="AUH10" s="167"/>
      <c r="AUI10" s="167"/>
      <c r="AUJ10" s="167"/>
      <c r="AUK10" s="167"/>
      <c r="AUL10" s="167"/>
      <c r="AUM10" s="167"/>
      <c r="AUN10" s="167"/>
      <c r="AUO10" s="167"/>
      <c r="AUP10" s="167"/>
      <c r="AUQ10" s="167"/>
      <c r="AUR10" s="167"/>
      <c r="AUS10" s="167"/>
      <c r="AUT10" s="167"/>
      <c r="AUU10" s="167"/>
      <c r="AUV10" s="167"/>
      <c r="AUW10" s="167"/>
      <c r="AUX10" s="167"/>
      <c r="AUY10" s="167"/>
      <c r="AUZ10" s="167"/>
      <c r="AVA10" s="167"/>
      <c r="AVB10" s="167"/>
      <c r="AVC10" s="167"/>
      <c r="AVD10" s="167"/>
      <c r="AVE10" s="167"/>
      <c r="AVF10" s="167"/>
      <c r="AVG10" s="167"/>
      <c r="AVH10" s="167"/>
      <c r="AVI10" s="167"/>
      <c r="AVJ10" s="167"/>
      <c r="AVK10" s="167"/>
      <c r="AVL10" s="167"/>
      <c r="AVM10" s="167"/>
      <c r="AVN10" s="167"/>
      <c r="AVO10" s="167"/>
      <c r="AVP10" s="167"/>
      <c r="AVQ10" s="167"/>
      <c r="AVR10" s="167"/>
      <c r="AVS10" s="167"/>
      <c r="AVT10" s="167"/>
      <c r="AVU10" s="167"/>
      <c r="AVV10" s="167"/>
      <c r="AVW10" s="167"/>
      <c r="AVX10" s="167"/>
      <c r="AVY10" s="167"/>
      <c r="AVZ10" s="167"/>
      <c r="AWA10" s="167"/>
      <c r="AWB10" s="167"/>
      <c r="AWC10" s="167"/>
      <c r="AWD10" s="167"/>
      <c r="AWE10" s="167"/>
      <c r="AWF10" s="167"/>
      <c r="AWG10" s="167"/>
      <c r="AWH10" s="167"/>
      <c r="AWI10" s="167"/>
      <c r="AWJ10" s="167"/>
      <c r="AWK10" s="167"/>
      <c r="AWL10" s="167"/>
      <c r="AWM10" s="167"/>
      <c r="AWN10" s="167"/>
      <c r="AWO10" s="167"/>
      <c r="AWP10" s="167"/>
      <c r="AWQ10" s="167"/>
      <c r="AWR10" s="167"/>
      <c r="AWS10" s="167"/>
      <c r="AWT10" s="167"/>
      <c r="AWU10" s="167"/>
      <c r="AWV10" s="167"/>
      <c r="AWW10" s="167"/>
      <c r="AWX10" s="167"/>
      <c r="AWY10" s="167"/>
      <c r="AWZ10" s="167"/>
      <c r="AXA10" s="167"/>
      <c r="AXB10" s="167"/>
      <c r="AXC10" s="167"/>
      <c r="AXD10" s="167"/>
      <c r="AXE10" s="167"/>
      <c r="AXF10" s="167"/>
      <c r="AXG10" s="167"/>
      <c r="AXH10" s="167"/>
      <c r="AXI10" s="167"/>
      <c r="AXJ10" s="167"/>
      <c r="AXK10" s="167"/>
      <c r="AXL10" s="167"/>
      <c r="AXM10" s="167"/>
      <c r="AXN10" s="167"/>
      <c r="AXO10" s="167"/>
      <c r="AXP10" s="167"/>
      <c r="AXQ10" s="167"/>
      <c r="AXR10" s="167"/>
      <c r="AXS10" s="167"/>
      <c r="AXT10" s="167"/>
      <c r="AXU10" s="167"/>
      <c r="AXV10" s="167"/>
      <c r="AXW10" s="167"/>
      <c r="AXX10" s="167"/>
      <c r="AXY10" s="167"/>
      <c r="AXZ10" s="167"/>
      <c r="AYA10" s="167"/>
      <c r="AYB10" s="167"/>
      <c r="AYC10" s="167"/>
      <c r="AYD10" s="167"/>
      <c r="AYE10" s="167"/>
      <c r="AYF10" s="167"/>
      <c r="AYG10" s="167"/>
      <c r="AYH10" s="167"/>
      <c r="AYI10" s="167"/>
      <c r="AYJ10" s="167"/>
      <c r="AYK10" s="167"/>
      <c r="AYL10" s="167"/>
      <c r="AYM10" s="167"/>
      <c r="AYN10" s="167"/>
      <c r="AYO10" s="167"/>
      <c r="AYP10" s="167"/>
      <c r="AYQ10" s="167"/>
      <c r="AYR10" s="167"/>
      <c r="AYS10" s="167"/>
      <c r="AYT10" s="167"/>
      <c r="AYU10" s="167"/>
      <c r="AYV10" s="167"/>
      <c r="AYW10" s="167"/>
      <c r="AYX10" s="167"/>
      <c r="AYY10" s="167"/>
      <c r="AYZ10" s="167"/>
      <c r="AZA10" s="167"/>
      <c r="AZB10" s="167"/>
      <c r="AZC10" s="167"/>
      <c r="AZD10" s="167"/>
      <c r="AZE10" s="167"/>
      <c r="AZF10" s="167"/>
      <c r="AZG10" s="167"/>
      <c r="AZH10" s="167"/>
      <c r="AZI10" s="167"/>
      <c r="AZJ10" s="167"/>
      <c r="AZK10" s="167"/>
      <c r="AZL10" s="167"/>
      <c r="AZM10" s="167"/>
      <c r="AZN10" s="167"/>
      <c r="AZO10" s="167"/>
      <c r="AZP10" s="167"/>
      <c r="AZQ10" s="167"/>
      <c r="AZR10" s="167"/>
      <c r="AZS10" s="167"/>
      <c r="AZT10" s="167"/>
      <c r="AZU10" s="167"/>
      <c r="AZV10" s="167"/>
      <c r="AZW10" s="167"/>
      <c r="AZX10" s="167"/>
      <c r="AZY10" s="167"/>
      <c r="AZZ10" s="167"/>
      <c r="BAA10" s="167"/>
      <c r="BAB10" s="167"/>
      <c r="BAC10" s="167"/>
      <c r="BAD10" s="167"/>
      <c r="BAE10" s="167"/>
      <c r="BAF10" s="167"/>
      <c r="BAG10" s="167"/>
      <c r="BAH10" s="167"/>
      <c r="BAI10" s="167"/>
      <c r="BAJ10" s="167"/>
      <c r="BAK10" s="167"/>
      <c r="BAL10" s="167"/>
      <c r="BAM10" s="167"/>
      <c r="BAN10" s="167"/>
      <c r="BAO10" s="167"/>
      <c r="BAP10" s="167"/>
      <c r="BAQ10" s="167"/>
      <c r="BAR10" s="167"/>
      <c r="BAS10" s="167"/>
      <c r="BAT10" s="167"/>
      <c r="BAU10" s="167"/>
      <c r="BAV10" s="167"/>
      <c r="BAW10" s="167"/>
      <c r="BAX10" s="167"/>
      <c r="BAY10" s="167"/>
      <c r="BAZ10" s="167"/>
      <c r="BBA10" s="167"/>
      <c r="BBB10" s="167"/>
      <c r="BBC10" s="167"/>
      <c r="BBD10" s="167"/>
      <c r="BBE10" s="167"/>
      <c r="BBF10" s="167"/>
      <c r="BBG10" s="167"/>
      <c r="BBH10" s="167"/>
      <c r="BBI10" s="167"/>
      <c r="BBJ10" s="167"/>
      <c r="BBK10" s="167"/>
      <c r="BBL10" s="167"/>
      <c r="BBM10" s="167"/>
      <c r="BBN10" s="167"/>
      <c r="BBO10" s="167"/>
      <c r="BBP10" s="167"/>
      <c r="BBQ10" s="167"/>
      <c r="BBR10" s="167"/>
      <c r="BBS10" s="167"/>
      <c r="BBT10" s="167"/>
      <c r="BBU10" s="167"/>
      <c r="BBV10" s="167"/>
      <c r="BBW10" s="167"/>
      <c r="BBX10" s="167"/>
      <c r="BBY10" s="167"/>
      <c r="BBZ10" s="167"/>
      <c r="BCA10" s="167"/>
      <c r="BCB10" s="167"/>
      <c r="BCC10" s="167"/>
      <c r="BCD10" s="167"/>
      <c r="BCE10" s="167"/>
      <c r="BCF10" s="167"/>
      <c r="BCG10" s="167"/>
      <c r="BCH10" s="167"/>
      <c r="BCI10" s="167"/>
      <c r="BCJ10" s="167"/>
      <c r="BCK10" s="167"/>
      <c r="BCL10" s="167"/>
      <c r="BCM10" s="167"/>
      <c r="BCN10" s="167"/>
      <c r="BCO10" s="167"/>
      <c r="BCP10" s="167"/>
      <c r="BCQ10" s="167"/>
      <c r="BCR10" s="167"/>
      <c r="BCS10" s="167"/>
      <c r="BCT10" s="167"/>
      <c r="BCU10" s="167"/>
      <c r="BCV10" s="167"/>
      <c r="BCW10" s="167"/>
      <c r="BCX10" s="167"/>
      <c r="BCY10" s="167"/>
      <c r="BCZ10" s="167"/>
      <c r="BDA10" s="167"/>
      <c r="BDB10" s="167"/>
      <c r="BDC10" s="167"/>
      <c r="BDD10" s="167"/>
      <c r="BDE10" s="167"/>
      <c r="BDF10" s="167"/>
      <c r="BDG10" s="167"/>
      <c r="BDH10" s="167"/>
      <c r="BDI10" s="167"/>
      <c r="BDJ10" s="167"/>
      <c r="BDK10" s="167"/>
      <c r="BDL10" s="167"/>
      <c r="BDM10" s="167"/>
      <c r="BDN10" s="167"/>
      <c r="BDO10" s="167"/>
      <c r="BDP10" s="167"/>
      <c r="BDQ10" s="167"/>
      <c r="BDR10" s="167"/>
      <c r="BDS10" s="167"/>
      <c r="BDT10" s="167"/>
      <c r="BDU10" s="167"/>
      <c r="BDV10" s="167"/>
      <c r="BDW10" s="167"/>
      <c r="BDX10" s="167"/>
      <c r="BDY10" s="167"/>
      <c r="BDZ10" s="167"/>
      <c r="BEA10" s="167"/>
      <c r="BEB10" s="167"/>
      <c r="BEC10" s="167"/>
      <c r="BED10" s="167"/>
      <c r="BEE10" s="167"/>
      <c r="BEF10" s="167"/>
      <c r="BEG10" s="167"/>
      <c r="BEH10" s="167"/>
      <c r="BEI10" s="167"/>
      <c r="BEJ10" s="167"/>
      <c r="BEK10" s="167"/>
      <c r="BEL10" s="167"/>
      <c r="BEM10" s="167"/>
      <c r="BEN10" s="167"/>
      <c r="BEO10" s="167"/>
      <c r="BEP10" s="167"/>
      <c r="BEQ10" s="167"/>
      <c r="BER10" s="167"/>
      <c r="BES10" s="167"/>
      <c r="BET10" s="167"/>
      <c r="BEU10" s="167"/>
      <c r="BEV10" s="167"/>
      <c r="BEW10" s="167"/>
      <c r="BEX10" s="167"/>
      <c r="BEY10" s="167"/>
      <c r="BEZ10" s="167"/>
      <c r="BFA10" s="167"/>
      <c r="BFB10" s="167"/>
      <c r="BFC10" s="167"/>
      <c r="BFD10" s="167"/>
      <c r="BFE10" s="167"/>
      <c r="BFF10" s="167"/>
      <c r="BFG10" s="167"/>
      <c r="BFH10" s="167"/>
      <c r="BFI10" s="167"/>
      <c r="BFJ10" s="167"/>
      <c r="BFK10" s="167"/>
      <c r="BFL10" s="167"/>
      <c r="BFM10" s="167"/>
      <c r="BFN10" s="167"/>
      <c r="BFO10" s="167"/>
      <c r="BFP10" s="167"/>
      <c r="BFQ10" s="167"/>
      <c r="BFR10" s="167"/>
      <c r="BFS10" s="167"/>
      <c r="BFT10" s="167"/>
      <c r="BFU10" s="167"/>
      <c r="BFV10" s="167"/>
      <c r="BFW10" s="167"/>
      <c r="BFX10" s="167"/>
      <c r="BFY10" s="167"/>
      <c r="BFZ10" s="167"/>
      <c r="BGA10" s="167"/>
      <c r="BGB10" s="167"/>
      <c r="BGC10" s="167"/>
      <c r="BGD10" s="167"/>
      <c r="BGE10" s="167"/>
      <c r="BGF10" s="167"/>
      <c r="BGG10" s="167"/>
      <c r="BGH10" s="167"/>
      <c r="BGI10" s="167"/>
      <c r="BGJ10" s="167"/>
      <c r="BGK10" s="167"/>
      <c r="BGL10" s="167"/>
      <c r="BGM10" s="167"/>
      <c r="BGN10" s="167"/>
      <c r="BGO10" s="167"/>
      <c r="BGP10" s="167"/>
      <c r="BGQ10" s="167"/>
      <c r="BGR10" s="167"/>
      <c r="BGS10" s="167"/>
      <c r="BGT10" s="167"/>
      <c r="BGU10" s="167"/>
      <c r="BGV10" s="167"/>
      <c r="BGW10" s="167"/>
      <c r="BGX10" s="167"/>
      <c r="BGY10" s="167"/>
      <c r="BGZ10" s="167"/>
      <c r="BHA10" s="167"/>
      <c r="BHB10" s="167"/>
      <c r="BHC10" s="167"/>
      <c r="BHD10" s="167"/>
      <c r="BHE10" s="167"/>
      <c r="BHF10" s="167"/>
      <c r="BHG10" s="167"/>
      <c r="BHH10" s="167"/>
      <c r="BHI10" s="167"/>
      <c r="BHJ10" s="167"/>
      <c r="BHK10" s="167"/>
      <c r="BHL10" s="167"/>
      <c r="BHM10" s="167"/>
      <c r="BHN10" s="167"/>
      <c r="BHO10" s="167"/>
      <c r="BHP10" s="167"/>
      <c r="BHQ10" s="167"/>
      <c r="BHR10" s="167"/>
      <c r="BHS10" s="167"/>
      <c r="BHT10" s="167"/>
      <c r="BHU10" s="167"/>
      <c r="BHV10" s="167"/>
      <c r="BHW10" s="167"/>
      <c r="BHX10" s="167"/>
      <c r="BHY10" s="167"/>
      <c r="BHZ10" s="167"/>
      <c r="BIA10" s="167"/>
      <c r="BIB10" s="167"/>
      <c r="BIC10" s="167"/>
      <c r="BID10" s="167"/>
      <c r="BIE10" s="167"/>
      <c r="BIF10" s="167"/>
      <c r="BIG10" s="167"/>
      <c r="BIH10" s="167"/>
      <c r="BII10" s="167"/>
      <c r="BIJ10" s="167"/>
      <c r="BIK10" s="167"/>
      <c r="BIL10" s="167"/>
      <c r="BIM10" s="167"/>
      <c r="BIN10" s="167"/>
      <c r="BIO10" s="167"/>
      <c r="BIP10" s="167"/>
      <c r="BIQ10" s="167"/>
      <c r="BIR10" s="167"/>
      <c r="BIS10" s="167"/>
      <c r="BIT10" s="167"/>
      <c r="BIU10" s="167"/>
      <c r="BIV10" s="167"/>
      <c r="BIW10" s="167"/>
      <c r="BIX10" s="167"/>
      <c r="BIY10" s="167"/>
      <c r="BIZ10" s="167"/>
      <c r="BJA10" s="167"/>
      <c r="BJB10" s="167"/>
      <c r="BJC10" s="167"/>
      <c r="BJD10" s="167"/>
      <c r="BJE10" s="167"/>
      <c r="BJF10" s="167"/>
      <c r="BJG10" s="167"/>
      <c r="BJH10" s="167"/>
      <c r="BJI10" s="167"/>
      <c r="BJJ10" s="167"/>
      <c r="BJK10" s="167"/>
      <c r="BJL10" s="167"/>
      <c r="BJM10" s="167"/>
      <c r="BJN10" s="167"/>
      <c r="BJO10" s="167"/>
      <c r="BJP10" s="167"/>
      <c r="BJQ10" s="167"/>
      <c r="BJR10" s="167"/>
      <c r="BJS10" s="167"/>
      <c r="BJT10" s="167"/>
      <c r="BJU10" s="167"/>
      <c r="BJV10" s="167"/>
      <c r="BJW10" s="167"/>
      <c r="BJX10" s="167"/>
      <c r="BJY10" s="167"/>
      <c r="BJZ10" s="167"/>
      <c r="BKA10" s="167"/>
      <c r="BKB10" s="167"/>
      <c r="BKC10" s="167"/>
      <c r="BKD10" s="167"/>
      <c r="BKE10" s="167"/>
      <c r="BKF10" s="167"/>
      <c r="BKG10" s="167"/>
      <c r="BKH10" s="167"/>
      <c r="BKI10" s="167"/>
      <c r="BKJ10" s="167"/>
      <c r="BKK10" s="167"/>
      <c r="BKL10" s="167"/>
      <c r="BKM10" s="167"/>
      <c r="BKN10" s="167"/>
      <c r="BKO10" s="167"/>
      <c r="BKP10" s="167"/>
      <c r="BKQ10" s="167"/>
      <c r="BKR10" s="167"/>
      <c r="BKS10" s="167"/>
      <c r="BKT10" s="167"/>
      <c r="BKU10" s="167"/>
      <c r="BKV10" s="167"/>
      <c r="BKW10" s="167"/>
      <c r="BKX10" s="167"/>
      <c r="BKY10" s="167"/>
      <c r="BKZ10" s="167"/>
      <c r="BLA10" s="167"/>
      <c r="BLB10" s="167"/>
      <c r="BLC10" s="167"/>
      <c r="BLD10" s="167"/>
      <c r="BLE10" s="167"/>
      <c r="BLF10" s="167"/>
      <c r="BLG10" s="167"/>
      <c r="BLH10" s="167"/>
      <c r="BLI10" s="167"/>
      <c r="BLJ10" s="167"/>
      <c r="BLK10" s="167"/>
      <c r="BLL10" s="167"/>
      <c r="BLM10" s="167"/>
      <c r="BLN10" s="167"/>
      <c r="BLO10" s="167"/>
      <c r="BLP10" s="167"/>
      <c r="BLQ10" s="167"/>
      <c r="BLR10" s="167"/>
      <c r="BLS10" s="167"/>
      <c r="BLT10" s="167"/>
      <c r="BLU10" s="167"/>
      <c r="BLV10" s="167"/>
      <c r="BLW10" s="167"/>
      <c r="BLX10" s="167"/>
      <c r="BLY10" s="167"/>
      <c r="BLZ10" s="167"/>
      <c r="BMA10" s="167"/>
      <c r="BMB10" s="167"/>
      <c r="BMC10" s="167"/>
      <c r="BMD10" s="167"/>
      <c r="BME10" s="167"/>
      <c r="BMF10" s="167"/>
      <c r="BMG10" s="167"/>
      <c r="BMH10" s="167"/>
      <c r="BMI10" s="167"/>
      <c r="BMJ10" s="167"/>
      <c r="BMK10" s="167"/>
      <c r="BML10" s="167"/>
      <c r="BMM10" s="167"/>
      <c r="BMN10" s="167"/>
      <c r="BMO10" s="167"/>
      <c r="BMP10" s="167"/>
      <c r="BMQ10" s="167"/>
      <c r="BMR10" s="167"/>
      <c r="BMS10" s="167"/>
      <c r="BMT10" s="167"/>
      <c r="BMU10" s="167"/>
      <c r="BMV10" s="167"/>
      <c r="BMW10" s="167"/>
      <c r="BMX10" s="167"/>
      <c r="BMY10" s="167"/>
      <c r="BMZ10" s="167"/>
      <c r="BNA10" s="167"/>
      <c r="BNB10" s="167"/>
      <c r="BNC10" s="167"/>
      <c r="BND10" s="167"/>
      <c r="BNE10" s="167"/>
      <c r="BNF10" s="167"/>
      <c r="BNG10" s="167"/>
      <c r="BNH10" s="167"/>
      <c r="BNI10" s="167"/>
      <c r="BNJ10" s="167"/>
      <c r="BNK10" s="167"/>
      <c r="BNL10" s="167"/>
      <c r="BNM10" s="167"/>
      <c r="BNN10" s="167"/>
      <c r="BNO10" s="167"/>
      <c r="BNP10" s="167"/>
      <c r="BNQ10" s="167"/>
      <c r="BNR10" s="167"/>
      <c r="BNS10" s="167"/>
      <c r="BNT10" s="167"/>
      <c r="BNU10" s="167"/>
      <c r="BNV10" s="167"/>
      <c r="BNW10" s="167"/>
      <c r="BNX10" s="167"/>
      <c r="BNY10" s="167"/>
      <c r="BNZ10" s="167"/>
      <c r="BOA10" s="167"/>
      <c r="BOB10" s="167"/>
      <c r="BOC10" s="167"/>
      <c r="BOD10" s="167"/>
      <c r="BOE10" s="167"/>
      <c r="BOF10" s="167"/>
      <c r="BOG10" s="167"/>
      <c r="BOH10" s="167"/>
      <c r="BOI10" s="167"/>
      <c r="BOJ10" s="167"/>
      <c r="BOK10" s="167"/>
      <c r="BOL10" s="167"/>
      <c r="BOM10" s="167"/>
      <c r="BON10" s="167"/>
      <c r="BOO10" s="167"/>
      <c r="BOP10" s="167"/>
      <c r="BOQ10" s="167"/>
      <c r="BOR10" s="167"/>
      <c r="BOS10" s="167"/>
      <c r="BOT10" s="167"/>
      <c r="BOU10" s="167"/>
      <c r="BOV10" s="167"/>
      <c r="BOW10" s="167"/>
      <c r="BOX10" s="167"/>
      <c r="BOY10" s="167"/>
      <c r="BOZ10" s="167"/>
      <c r="BPA10" s="167"/>
      <c r="BPB10" s="167"/>
      <c r="BPC10" s="167"/>
      <c r="BPD10" s="167"/>
      <c r="BPE10" s="167"/>
      <c r="BPF10" s="167"/>
      <c r="BPG10" s="167"/>
      <c r="BPH10" s="167"/>
      <c r="BPI10" s="167"/>
      <c r="BPJ10" s="167"/>
      <c r="BPK10" s="167"/>
      <c r="BPL10" s="167"/>
      <c r="BPM10" s="167"/>
      <c r="BPN10" s="167"/>
      <c r="BPO10" s="167"/>
      <c r="BPP10" s="167"/>
      <c r="BPQ10" s="167"/>
      <c r="BPR10" s="167"/>
      <c r="BPS10" s="167"/>
      <c r="BPT10" s="167"/>
      <c r="BPU10" s="167"/>
      <c r="BPV10" s="167"/>
      <c r="BPW10" s="167"/>
      <c r="BPX10" s="167"/>
      <c r="BPY10" s="167"/>
      <c r="BPZ10" s="167"/>
      <c r="BQA10" s="167"/>
      <c r="BQB10" s="167"/>
      <c r="BQC10" s="167"/>
      <c r="BQD10" s="167"/>
      <c r="BQE10" s="167"/>
      <c r="BQF10" s="167"/>
      <c r="BQG10" s="167"/>
      <c r="BQH10" s="167"/>
      <c r="BQI10" s="167"/>
      <c r="BQJ10" s="167"/>
      <c r="BQK10" s="167"/>
      <c r="BQL10" s="167"/>
      <c r="BQM10" s="167"/>
      <c r="BQN10" s="167"/>
      <c r="BQO10" s="167"/>
      <c r="BQP10" s="167"/>
      <c r="BQQ10" s="167"/>
      <c r="BQR10" s="167"/>
      <c r="BQS10" s="167"/>
      <c r="BQT10" s="167"/>
      <c r="BQU10" s="167"/>
      <c r="BQV10" s="167"/>
      <c r="BQW10" s="167"/>
      <c r="BQX10" s="167"/>
      <c r="BQY10" s="167"/>
      <c r="BQZ10" s="167"/>
      <c r="BRA10" s="167"/>
      <c r="BRB10" s="167"/>
      <c r="BRC10" s="167"/>
      <c r="BRD10" s="167"/>
      <c r="BRE10" s="167"/>
      <c r="BRF10" s="167"/>
      <c r="BRG10" s="167"/>
      <c r="BRH10" s="167"/>
      <c r="BRI10" s="167"/>
      <c r="BRJ10" s="167"/>
      <c r="BRK10" s="167"/>
      <c r="BRL10" s="167"/>
      <c r="BRM10" s="167"/>
      <c r="BRN10" s="167"/>
      <c r="BRO10" s="167"/>
      <c r="BRP10" s="167"/>
      <c r="BRQ10" s="167"/>
      <c r="BRR10" s="167"/>
      <c r="BRS10" s="167"/>
      <c r="BRT10" s="167"/>
      <c r="BRU10" s="167"/>
      <c r="BRV10" s="167"/>
      <c r="BRW10" s="167"/>
      <c r="BRX10" s="167"/>
      <c r="BRY10" s="167"/>
      <c r="BRZ10" s="167"/>
      <c r="BSA10" s="167"/>
      <c r="BSB10" s="167"/>
      <c r="BSC10" s="167"/>
    </row>
    <row r="11" spans="1:1849" ht="15" x14ac:dyDescent="0.2">
      <c r="A11" s="412">
        <v>10</v>
      </c>
      <c r="B11" s="170" t="s">
        <v>25</v>
      </c>
      <c r="C11" s="548" t="s">
        <v>425</v>
      </c>
      <c r="D11" s="170" t="s">
        <v>26</v>
      </c>
      <c r="E11" s="170" t="s">
        <v>27</v>
      </c>
      <c r="F11" s="170">
        <v>30</v>
      </c>
      <c r="G11" s="170">
        <v>20</v>
      </c>
      <c r="H11" s="170">
        <v>29</v>
      </c>
      <c r="I11" s="170">
        <v>20</v>
      </c>
      <c r="J11" s="170">
        <v>1</v>
      </c>
      <c r="K11" s="170">
        <f t="shared" si="0"/>
        <v>600</v>
      </c>
      <c r="L11" s="170" t="s">
        <v>28</v>
      </c>
      <c r="M11" s="697" t="s">
        <v>305</v>
      </c>
      <c r="N11" s="170">
        <v>21.14049</v>
      </c>
      <c r="O11" s="170">
        <v>79.055310000000006</v>
      </c>
      <c r="P11" s="170">
        <v>50000</v>
      </c>
      <c r="Q11" s="170">
        <v>60000</v>
      </c>
      <c r="R11" s="170">
        <v>90000</v>
      </c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  <c r="EG11" s="167"/>
      <c r="EH11" s="167"/>
      <c r="EI11" s="167"/>
      <c r="EJ11" s="167"/>
      <c r="EK11" s="167"/>
      <c r="EL11" s="167"/>
      <c r="EM11" s="167"/>
      <c r="EN11" s="167"/>
      <c r="EO11" s="167"/>
      <c r="EP11" s="167"/>
      <c r="EQ11" s="167"/>
      <c r="ER11" s="167"/>
      <c r="ES11" s="167"/>
      <c r="ET11" s="167"/>
      <c r="EU11" s="167"/>
      <c r="EV11" s="167"/>
      <c r="EW11" s="167"/>
      <c r="EX11" s="167"/>
      <c r="EY11" s="167"/>
      <c r="EZ11" s="167"/>
      <c r="FA11" s="167"/>
      <c r="FB11" s="167"/>
      <c r="FC11" s="167"/>
      <c r="FD11" s="167"/>
      <c r="FE11" s="167"/>
      <c r="FF11" s="167"/>
      <c r="FG11" s="167"/>
      <c r="FH11" s="167"/>
      <c r="FI11" s="167"/>
      <c r="FJ11" s="167"/>
      <c r="FK11" s="167"/>
      <c r="FL11" s="167"/>
      <c r="FM11" s="167"/>
      <c r="FN11" s="167"/>
      <c r="FO11" s="167"/>
      <c r="FP11" s="167"/>
      <c r="FQ11" s="167"/>
      <c r="FR11" s="167"/>
      <c r="FS11" s="167"/>
      <c r="FT11" s="167"/>
      <c r="FU11" s="167"/>
      <c r="FV11" s="167"/>
      <c r="FW11" s="167"/>
      <c r="FX11" s="167"/>
      <c r="FY11" s="167"/>
      <c r="FZ11" s="167"/>
      <c r="GA11" s="167"/>
      <c r="GB11" s="167"/>
      <c r="GC11" s="167"/>
      <c r="GD11" s="167"/>
      <c r="GE11" s="167"/>
      <c r="GF11" s="167"/>
      <c r="GG11" s="167"/>
      <c r="GH11" s="167"/>
      <c r="GI11" s="167"/>
      <c r="GJ11" s="167"/>
      <c r="GK11" s="167"/>
      <c r="GL11" s="167"/>
      <c r="GM11" s="167"/>
      <c r="GN11" s="167"/>
      <c r="GO11" s="167"/>
      <c r="GP11" s="167"/>
      <c r="GQ11" s="167"/>
      <c r="GR11" s="167"/>
      <c r="GS11" s="167"/>
      <c r="GT11" s="167"/>
      <c r="GU11" s="167"/>
      <c r="GV11" s="167"/>
      <c r="GW11" s="167"/>
      <c r="GX11" s="167"/>
      <c r="GY11" s="167"/>
      <c r="GZ11" s="167"/>
      <c r="HA11" s="167"/>
      <c r="HB11" s="167"/>
      <c r="HC11" s="167"/>
      <c r="HD11" s="167"/>
      <c r="HE11" s="167"/>
      <c r="HF11" s="167"/>
      <c r="HG11" s="167"/>
      <c r="HH11" s="167"/>
      <c r="HI11" s="167"/>
      <c r="HJ11" s="167"/>
      <c r="HK11" s="167"/>
      <c r="HL11" s="167"/>
      <c r="HM11" s="167"/>
      <c r="HN11" s="167"/>
      <c r="HO11" s="167"/>
      <c r="HP11" s="167"/>
      <c r="HQ11" s="167"/>
      <c r="HR11" s="167"/>
      <c r="HS11" s="167"/>
      <c r="HT11" s="167"/>
      <c r="HU11" s="167"/>
      <c r="HV11" s="167"/>
      <c r="HW11" s="167"/>
      <c r="HX11" s="167"/>
      <c r="HY11" s="167"/>
      <c r="HZ11" s="167"/>
      <c r="IA11" s="167"/>
      <c r="IB11" s="167"/>
      <c r="IC11" s="167"/>
      <c r="ID11" s="167"/>
      <c r="IE11" s="167"/>
      <c r="IF11" s="167"/>
      <c r="IG11" s="167"/>
      <c r="IH11" s="167"/>
      <c r="II11" s="167"/>
      <c r="IJ11" s="167"/>
      <c r="IK11" s="167"/>
      <c r="IL11" s="167"/>
      <c r="IM11" s="167"/>
      <c r="IN11" s="167"/>
      <c r="IO11" s="167"/>
      <c r="IP11" s="167"/>
      <c r="IQ11" s="167"/>
      <c r="IR11" s="167"/>
      <c r="IS11" s="167"/>
      <c r="IT11" s="167"/>
      <c r="IU11" s="167"/>
      <c r="IV11" s="167"/>
      <c r="IW11" s="167"/>
      <c r="IX11" s="167"/>
      <c r="IY11" s="167"/>
      <c r="IZ11" s="167"/>
      <c r="JA11" s="167"/>
      <c r="JB11" s="167"/>
      <c r="JC11" s="167"/>
      <c r="JD11" s="167"/>
      <c r="JE11" s="167"/>
      <c r="JF11" s="167"/>
      <c r="JG11" s="167"/>
      <c r="JH11" s="167"/>
      <c r="JI11" s="167"/>
      <c r="JJ11" s="167"/>
      <c r="JK11" s="167"/>
      <c r="JL11" s="167"/>
      <c r="JM11" s="167"/>
      <c r="JN11" s="167"/>
      <c r="JO11" s="167"/>
      <c r="JP11" s="167"/>
      <c r="JQ11" s="167"/>
      <c r="JR11" s="167"/>
      <c r="JS11" s="167"/>
      <c r="JT11" s="167"/>
      <c r="JU11" s="167"/>
      <c r="JV11" s="167"/>
      <c r="JW11" s="167"/>
      <c r="JX11" s="167"/>
      <c r="JY11" s="167"/>
      <c r="JZ11" s="167"/>
      <c r="KA11" s="167"/>
      <c r="KB11" s="167"/>
      <c r="KC11" s="167"/>
      <c r="KD11" s="167"/>
      <c r="KE11" s="167"/>
      <c r="KF11" s="167"/>
      <c r="KG11" s="167"/>
      <c r="KH11" s="167"/>
      <c r="KI11" s="167"/>
      <c r="KJ11" s="167"/>
      <c r="KK11" s="167"/>
      <c r="KL11" s="167"/>
      <c r="KM11" s="167"/>
      <c r="KN11" s="167"/>
      <c r="KO11" s="167"/>
      <c r="KP11" s="167"/>
      <c r="KQ11" s="167"/>
      <c r="KR11" s="167"/>
      <c r="KS11" s="167"/>
      <c r="KT11" s="167"/>
      <c r="KU11" s="167"/>
      <c r="KV11" s="167"/>
      <c r="KW11" s="167"/>
      <c r="KX11" s="167"/>
      <c r="KY11" s="167"/>
      <c r="KZ11" s="167"/>
      <c r="LA11" s="167"/>
      <c r="LB11" s="167"/>
      <c r="LC11" s="167"/>
      <c r="LD11" s="167"/>
      <c r="LE11" s="167"/>
      <c r="LF11" s="167"/>
      <c r="LG11" s="167"/>
      <c r="LH11" s="167"/>
      <c r="LI11" s="167"/>
      <c r="LJ11" s="167"/>
      <c r="LK11" s="167"/>
      <c r="LL11" s="167"/>
      <c r="LM11" s="167"/>
      <c r="LN11" s="167"/>
      <c r="LO11" s="167"/>
      <c r="LP11" s="167"/>
      <c r="LQ11" s="167"/>
      <c r="LR11" s="167"/>
      <c r="LS11" s="167"/>
      <c r="LT11" s="167"/>
      <c r="LU11" s="167"/>
      <c r="LV11" s="167"/>
      <c r="LW11" s="167"/>
      <c r="LX11" s="167"/>
      <c r="LY11" s="167"/>
      <c r="LZ11" s="167"/>
      <c r="MA11" s="167"/>
      <c r="MB11" s="167"/>
      <c r="MC11" s="167"/>
      <c r="MD11" s="167"/>
      <c r="ME11" s="167"/>
      <c r="MF11" s="167"/>
      <c r="MG11" s="167"/>
      <c r="MH11" s="167"/>
      <c r="MI11" s="167"/>
      <c r="MJ11" s="167"/>
      <c r="MK11" s="167"/>
      <c r="ML11" s="167"/>
      <c r="MM11" s="167"/>
      <c r="MN11" s="167"/>
      <c r="MO11" s="167"/>
      <c r="MP11" s="167"/>
      <c r="MQ11" s="167"/>
      <c r="MR11" s="167"/>
      <c r="MS11" s="167"/>
      <c r="MT11" s="167"/>
      <c r="MU11" s="167"/>
      <c r="MV11" s="167"/>
      <c r="MW11" s="167"/>
      <c r="MX11" s="167"/>
      <c r="MY11" s="167"/>
      <c r="MZ11" s="167"/>
      <c r="NA11" s="167"/>
      <c r="NB11" s="167"/>
      <c r="NC11" s="167"/>
      <c r="ND11" s="167"/>
      <c r="NE11" s="167"/>
      <c r="NF11" s="167"/>
      <c r="NG11" s="167"/>
      <c r="NH11" s="167"/>
      <c r="NI11" s="167"/>
      <c r="NJ11" s="167"/>
      <c r="NK11" s="167"/>
      <c r="NL11" s="167"/>
      <c r="NM11" s="167"/>
      <c r="NN11" s="167"/>
      <c r="NO11" s="167"/>
      <c r="NP11" s="167"/>
      <c r="NQ11" s="167"/>
      <c r="NR11" s="167"/>
      <c r="NS11" s="167"/>
      <c r="NT11" s="167"/>
      <c r="NU11" s="167"/>
      <c r="NV11" s="167"/>
      <c r="NW11" s="167"/>
      <c r="NX11" s="167"/>
      <c r="NY11" s="167"/>
      <c r="NZ11" s="167"/>
      <c r="OA11" s="167"/>
      <c r="OB11" s="167"/>
      <c r="OC11" s="167"/>
      <c r="OD11" s="167"/>
      <c r="OE11" s="167"/>
      <c r="OF11" s="167"/>
      <c r="OG11" s="167"/>
      <c r="OH11" s="167"/>
      <c r="OI11" s="167"/>
      <c r="OJ11" s="167"/>
      <c r="OK11" s="167"/>
      <c r="OL11" s="167"/>
      <c r="OM11" s="167"/>
      <c r="ON11" s="167"/>
      <c r="OO11" s="167"/>
      <c r="OP11" s="167"/>
      <c r="OQ11" s="167"/>
      <c r="OR11" s="167"/>
      <c r="OS11" s="167"/>
      <c r="OT11" s="167"/>
      <c r="OU11" s="167"/>
      <c r="OV11" s="167"/>
      <c r="OW11" s="167"/>
      <c r="OX11" s="167"/>
      <c r="OY11" s="167"/>
      <c r="OZ11" s="167"/>
      <c r="PA11" s="167"/>
      <c r="PB11" s="167"/>
      <c r="PC11" s="167"/>
      <c r="PD11" s="167"/>
      <c r="PE11" s="167"/>
      <c r="PF11" s="167"/>
      <c r="PG11" s="167"/>
      <c r="PH11" s="167"/>
      <c r="PI11" s="167"/>
      <c r="PJ11" s="167"/>
      <c r="PK11" s="167"/>
      <c r="PL11" s="167"/>
      <c r="PM11" s="167"/>
      <c r="PN11" s="167"/>
      <c r="PO11" s="167"/>
      <c r="PP11" s="167"/>
      <c r="PQ11" s="167"/>
      <c r="PR11" s="167"/>
      <c r="PS11" s="167"/>
      <c r="PT11" s="167"/>
      <c r="PU11" s="167"/>
      <c r="PV11" s="167"/>
      <c r="PW11" s="167"/>
      <c r="PX11" s="167"/>
      <c r="PY11" s="167"/>
      <c r="PZ11" s="167"/>
      <c r="QA11" s="167"/>
      <c r="QB11" s="167"/>
      <c r="QC11" s="167"/>
      <c r="QD11" s="167"/>
      <c r="QE11" s="167"/>
      <c r="QF11" s="167"/>
      <c r="QG11" s="167"/>
      <c r="QH11" s="167"/>
      <c r="QI11" s="167"/>
      <c r="QJ11" s="167"/>
      <c r="QK11" s="167"/>
      <c r="QL11" s="167"/>
      <c r="QM11" s="167"/>
      <c r="QN11" s="167"/>
      <c r="QO11" s="167"/>
      <c r="QP11" s="167"/>
      <c r="QQ11" s="167"/>
      <c r="QR11" s="167"/>
      <c r="QS11" s="167"/>
      <c r="QT11" s="167"/>
      <c r="QU11" s="167"/>
      <c r="QV11" s="167"/>
      <c r="QW11" s="167"/>
      <c r="QX11" s="167"/>
      <c r="QY11" s="167"/>
      <c r="QZ11" s="167"/>
      <c r="RA11" s="167"/>
      <c r="RB11" s="167"/>
      <c r="RC11" s="167"/>
      <c r="RD11" s="167"/>
      <c r="RE11" s="167"/>
      <c r="RF11" s="167"/>
      <c r="RG11" s="167"/>
      <c r="RH11" s="167"/>
      <c r="RI11" s="167"/>
      <c r="RJ11" s="167"/>
      <c r="RK11" s="167"/>
      <c r="RL11" s="167"/>
      <c r="RM11" s="167"/>
      <c r="RN11" s="167"/>
      <c r="RO11" s="167"/>
      <c r="RP11" s="167"/>
      <c r="RQ11" s="167"/>
      <c r="RR11" s="167"/>
      <c r="RS11" s="167"/>
      <c r="RT11" s="167"/>
      <c r="RU11" s="167"/>
      <c r="RV11" s="167"/>
      <c r="RW11" s="167"/>
      <c r="RX11" s="167"/>
      <c r="RY11" s="167"/>
      <c r="RZ11" s="167"/>
      <c r="SA11" s="167"/>
      <c r="SB11" s="167"/>
      <c r="SC11" s="167"/>
      <c r="SD11" s="167"/>
      <c r="SE11" s="167"/>
      <c r="SF11" s="167"/>
      <c r="SG11" s="167"/>
      <c r="SH11" s="167"/>
      <c r="SI11" s="167"/>
      <c r="SJ11" s="167"/>
      <c r="SK11" s="167"/>
      <c r="SL11" s="167"/>
      <c r="SM11" s="167"/>
      <c r="SN11" s="167"/>
      <c r="SO11" s="167"/>
      <c r="SP11" s="167"/>
      <c r="SQ11" s="167"/>
      <c r="SR11" s="167"/>
      <c r="SS11" s="167"/>
      <c r="ST11" s="167"/>
      <c r="SU11" s="167"/>
      <c r="SV11" s="167"/>
      <c r="SW11" s="167"/>
      <c r="SX11" s="167"/>
      <c r="SY11" s="167"/>
      <c r="SZ11" s="167"/>
      <c r="TA11" s="167"/>
      <c r="TB11" s="167"/>
      <c r="TC11" s="167"/>
      <c r="TD11" s="167"/>
      <c r="TE11" s="167"/>
      <c r="TF11" s="167"/>
      <c r="TG11" s="167"/>
      <c r="TH11" s="167"/>
      <c r="TI11" s="167"/>
      <c r="TJ11" s="167"/>
      <c r="TK11" s="167"/>
      <c r="TL11" s="167"/>
      <c r="TM11" s="167"/>
      <c r="TN11" s="167"/>
      <c r="TO11" s="167"/>
      <c r="TP11" s="167"/>
      <c r="TQ11" s="167"/>
      <c r="TR11" s="167"/>
      <c r="TS11" s="167"/>
      <c r="TT11" s="167"/>
      <c r="TU11" s="167"/>
      <c r="TV11" s="167"/>
      <c r="TW11" s="167"/>
      <c r="TX11" s="167"/>
      <c r="TY11" s="167"/>
      <c r="TZ11" s="167"/>
      <c r="UA11" s="167"/>
      <c r="UB11" s="167"/>
      <c r="UC11" s="167"/>
      <c r="UD11" s="167"/>
      <c r="UE11" s="167"/>
      <c r="UF11" s="167"/>
      <c r="UG11" s="167"/>
      <c r="UH11" s="167"/>
      <c r="UI11" s="167"/>
      <c r="UJ11" s="167"/>
      <c r="UK11" s="167"/>
      <c r="UL11" s="167"/>
      <c r="UM11" s="167"/>
      <c r="UN11" s="167"/>
      <c r="UO11" s="167"/>
      <c r="UP11" s="167"/>
      <c r="UQ11" s="167"/>
      <c r="UR11" s="167"/>
      <c r="US11" s="167"/>
      <c r="UT11" s="167"/>
      <c r="UU11" s="167"/>
      <c r="UV11" s="167"/>
      <c r="UW11" s="167"/>
      <c r="UX11" s="167"/>
      <c r="UY11" s="167"/>
      <c r="UZ11" s="167"/>
      <c r="VA11" s="167"/>
      <c r="VB11" s="167"/>
      <c r="VC11" s="167"/>
      <c r="VD11" s="167"/>
      <c r="VE11" s="167"/>
      <c r="VF11" s="167"/>
      <c r="VG11" s="167"/>
      <c r="VH11" s="167"/>
      <c r="VI11" s="167"/>
      <c r="VJ11" s="167"/>
      <c r="VK11" s="167"/>
      <c r="VL11" s="167"/>
      <c r="VM11" s="167"/>
      <c r="VN11" s="167"/>
      <c r="VO11" s="167"/>
      <c r="VP11" s="167"/>
      <c r="VQ11" s="167"/>
      <c r="VR11" s="167"/>
      <c r="VS11" s="167"/>
      <c r="VT11" s="167"/>
      <c r="VU11" s="167"/>
      <c r="VV11" s="167"/>
      <c r="VW11" s="167"/>
      <c r="VX11" s="167"/>
      <c r="VY11" s="167"/>
      <c r="VZ11" s="167"/>
      <c r="WA11" s="167"/>
      <c r="WB11" s="167"/>
      <c r="WC11" s="167"/>
      <c r="WD11" s="167"/>
      <c r="WE11" s="167"/>
      <c r="WF11" s="167"/>
      <c r="WG11" s="167"/>
      <c r="WH11" s="167"/>
      <c r="WI11" s="167"/>
      <c r="WJ11" s="167"/>
      <c r="WK11" s="167"/>
      <c r="WL11" s="167"/>
      <c r="WM11" s="167"/>
      <c r="WN11" s="167"/>
      <c r="WO11" s="167"/>
      <c r="WP11" s="167"/>
      <c r="WQ11" s="167"/>
      <c r="WR11" s="167"/>
      <c r="WS11" s="167"/>
      <c r="WT11" s="167"/>
      <c r="WU11" s="167"/>
      <c r="WV11" s="167"/>
      <c r="WW11" s="167"/>
      <c r="WX11" s="167"/>
      <c r="WY11" s="167"/>
      <c r="WZ11" s="167"/>
      <c r="XA11" s="167"/>
      <c r="XB11" s="167"/>
      <c r="XC11" s="167"/>
      <c r="XD11" s="167"/>
      <c r="XE11" s="167"/>
      <c r="XF11" s="167"/>
      <c r="XG11" s="167"/>
      <c r="XH11" s="167"/>
      <c r="XI11" s="167"/>
      <c r="XJ11" s="167"/>
      <c r="XK11" s="167"/>
      <c r="XL11" s="167"/>
      <c r="XM11" s="167"/>
      <c r="XN11" s="167"/>
      <c r="XO11" s="167"/>
      <c r="XP11" s="167"/>
      <c r="XQ11" s="167"/>
      <c r="XR11" s="167"/>
      <c r="XS11" s="167"/>
      <c r="XT11" s="167"/>
      <c r="XU11" s="167"/>
      <c r="XV11" s="167"/>
      <c r="XW11" s="167"/>
      <c r="XX11" s="167"/>
      <c r="XY11" s="167"/>
      <c r="XZ11" s="167"/>
      <c r="YA11" s="167"/>
      <c r="YB11" s="167"/>
      <c r="YC11" s="167"/>
      <c r="YD11" s="167"/>
      <c r="YE11" s="167"/>
      <c r="YF11" s="167"/>
      <c r="YG11" s="167"/>
      <c r="YH11" s="167"/>
      <c r="YI11" s="167"/>
      <c r="YJ11" s="167"/>
      <c r="YK11" s="167"/>
      <c r="YL11" s="167"/>
      <c r="YM11" s="167"/>
      <c r="YN11" s="167"/>
      <c r="YO11" s="167"/>
      <c r="YP11" s="167"/>
      <c r="YQ11" s="167"/>
      <c r="YR11" s="167"/>
      <c r="YS11" s="167"/>
      <c r="YT11" s="167"/>
      <c r="YU11" s="167"/>
      <c r="YV11" s="167"/>
      <c r="YW11" s="167"/>
      <c r="YX11" s="167"/>
      <c r="YY11" s="167"/>
      <c r="YZ11" s="167"/>
      <c r="ZA11" s="167"/>
      <c r="ZB11" s="167"/>
      <c r="ZC11" s="167"/>
      <c r="ZD11" s="167"/>
      <c r="ZE11" s="167"/>
      <c r="ZF11" s="167"/>
      <c r="ZG11" s="167"/>
      <c r="ZH11" s="167"/>
      <c r="ZI11" s="167"/>
      <c r="ZJ11" s="167"/>
      <c r="ZK11" s="167"/>
      <c r="ZL11" s="167"/>
      <c r="ZM11" s="167"/>
      <c r="ZN11" s="167"/>
      <c r="ZO11" s="167"/>
      <c r="ZP11" s="167"/>
      <c r="ZQ11" s="167"/>
      <c r="ZR11" s="167"/>
      <c r="ZS11" s="167"/>
      <c r="ZT11" s="167"/>
      <c r="ZU11" s="167"/>
      <c r="ZV11" s="167"/>
      <c r="ZW11" s="167"/>
      <c r="ZX11" s="167"/>
      <c r="ZY11" s="167"/>
      <c r="ZZ11" s="167"/>
      <c r="AAA11" s="167"/>
      <c r="AAB11" s="167"/>
      <c r="AAC11" s="167"/>
      <c r="AAD11" s="167"/>
      <c r="AAE11" s="167"/>
      <c r="AAF11" s="167"/>
      <c r="AAG11" s="167"/>
      <c r="AAH11" s="167"/>
      <c r="AAI11" s="167"/>
      <c r="AAJ11" s="167"/>
      <c r="AAK11" s="167"/>
      <c r="AAL11" s="167"/>
      <c r="AAM11" s="167"/>
      <c r="AAN11" s="167"/>
      <c r="AAO11" s="167"/>
      <c r="AAP11" s="167"/>
      <c r="AAQ11" s="167"/>
      <c r="AAR11" s="167"/>
      <c r="AAS11" s="167"/>
      <c r="AAT11" s="167"/>
      <c r="AAU11" s="167"/>
      <c r="AAV11" s="167"/>
      <c r="AAW11" s="167"/>
      <c r="AAX11" s="167"/>
      <c r="AAY11" s="167"/>
      <c r="AAZ11" s="167"/>
      <c r="ABA11" s="167"/>
      <c r="ABB11" s="167"/>
      <c r="ABC11" s="167"/>
      <c r="ABD11" s="167"/>
      <c r="ABE11" s="167"/>
      <c r="ABF11" s="167"/>
      <c r="ABG11" s="167"/>
      <c r="ABH11" s="167"/>
      <c r="ABI11" s="167"/>
      <c r="ABJ11" s="167"/>
      <c r="ABK11" s="167"/>
      <c r="ABL11" s="167"/>
      <c r="ABM11" s="167"/>
      <c r="ABN11" s="167"/>
      <c r="ABO11" s="167"/>
      <c r="ABP11" s="167"/>
      <c r="ABQ11" s="167"/>
      <c r="ABR11" s="167"/>
      <c r="ABS11" s="167"/>
      <c r="ABT11" s="167"/>
      <c r="ABU11" s="167"/>
      <c r="ABV11" s="167"/>
      <c r="ABW11" s="167"/>
      <c r="ABX11" s="167"/>
      <c r="ABY11" s="167"/>
      <c r="ABZ11" s="167"/>
      <c r="ACA11" s="167"/>
      <c r="ACB11" s="167"/>
      <c r="ACC11" s="167"/>
      <c r="ACD11" s="167"/>
      <c r="ACE11" s="167"/>
      <c r="ACF11" s="167"/>
      <c r="ACG11" s="167"/>
      <c r="ACH11" s="167"/>
      <c r="ACI11" s="167"/>
      <c r="ACJ11" s="167"/>
      <c r="ACK11" s="167"/>
      <c r="ACL11" s="167"/>
      <c r="ACM11" s="167"/>
      <c r="ACN11" s="167"/>
      <c r="ACO11" s="167"/>
      <c r="ACP11" s="167"/>
      <c r="ACQ11" s="167"/>
      <c r="ACR11" s="167"/>
      <c r="ACS11" s="167"/>
      <c r="ACT11" s="167"/>
      <c r="ACU11" s="167"/>
      <c r="ACV11" s="167"/>
      <c r="ACW11" s="167"/>
      <c r="ACX11" s="167"/>
      <c r="ACY11" s="167"/>
      <c r="ACZ11" s="167"/>
      <c r="ADA11" s="167"/>
      <c r="ADB11" s="167"/>
      <c r="ADC11" s="167"/>
      <c r="ADD11" s="167"/>
      <c r="ADE11" s="167"/>
      <c r="ADF11" s="167"/>
      <c r="ADG11" s="167"/>
      <c r="ADH11" s="167"/>
      <c r="ADI11" s="167"/>
      <c r="ADJ11" s="167"/>
      <c r="ADK11" s="167"/>
      <c r="ADL11" s="167"/>
      <c r="ADM11" s="167"/>
      <c r="ADN11" s="167"/>
      <c r="ADO11" s="167"/>
      <c r="ADP11" s="167"/>
      <c r="ADQ11" s="167"/>
      <c r="ADR11" s="167"/>
      <c r="ADS11" s="167"/>
      <c r="ADT11" s="167"/>
      <c r="ADU11" s="167"/>
      <c r="ADV11" s="167"/>
      <c r="ADW11" s="167"/>
      <c r="ADX11" s="167"/>
      <c r="ADY11" s="167"/>
      <c r="ADZ11" s="167"/>
      <c r="AEA11" s="167"/>
      <c r="AEB11" s="167"/>
      <c r="AEC11" s="167"/>
      <c r="AED11" s="167"/>
      <c r="AEE11" s="167"/>
      <c r="AEF11" s="167"/>
      <c r="AEG11" s="167"/>
      <c r="AEH11" s="167"/>
      <c r="AEI11" s="167"/>
      <c r="AEJ11" s="167"/>
      <c r="AEK11" s="167"/>
      <c r="AEL11" s="167"/>
      <c r="AEM11" s="167"/>
      <c r="AEN11" s="167"/>
      <c r="AEO11" s="167"/>
      <c r="AEP11" s="167"/>
      <c r="AEQ11" s="167"/>
      <c r="AER11" s="167"/>
      <c r="AES11" s="167"/>
      <c r="AET11" s="167"/>
      <c r="AEU11" s="167"/>
      <c r="AEV11" s="167"/>
      <c r="AEW11" s="167"/>
      <c r="AEX11" s="167"/>
      <c r="AEY11" s="167"/>
      <c r="AEZ11" s="167"/>
      <c r="AFA11" s="167"/>
      <c r="AFB11" s="167"/>
      <c r="AFC11" s="167"/>
      <c r="AFD11" s="167"/>
      <c r="AFE11" s="167"/>
      <c r="AFF11" s="167"/>
      <c r="AFG11" s="167"/>
      <c r="AFH11" s="167"/>
      <c r="AFI11" s="167"/>
      <c r="AFJ11" s="167"/>
      <c r="AFK11" s="167"/>
      <c r="AFL11" s="167"/>
      <c r="AFM11" s="167"/>
      <c r="AFN11" s="167"/>
      <c r="AFO11" s="167"/>
      <c r="AFP11" s="167"/>
      <c r="AFQ11" s="167"/>
      <c r="AFR11" s="167"/>
      <c r="AFS11" s="167"/>
      <c r="AFT11" s="167"/>
      <c r="AFU11" s="167"/>
      <c r="AFV11" s="167"/>
      <c r="AFW11" s="167"/>
      <c r="AFX11" s="167"/>
      <c r="AFY11" s="167"/>
      <c r="AFZ11" s="167"/>
      <c r="AGA11" s="167"/>
      <c r="AGB11" s="167"/>
      <c r="AGC11" s="167"/>
      <c r="AGD11" s="167"/>
      <c r="AGE11" s="167"/>
      <c r="AGF11" s="167"/>
      <c r="AGG11" s="167"/>
      <c r="AGH11" s="167"/>
      <c r="AGI11" s="167"/>
      <c r="AGJ11" s="167"/>
      <c r="AGK11" s="167"/>
      <c r="AGL11" s="167"/>
      <c r="AGM11" s="167"/>
      <c r="AGN11" s="167"/>
      <c r="AGO11" s="167"/>
      <c r="AGP11" s="167"/>
      <c r="AGQ11" s="167"/>
      <c r="AGR11" s="167"/>
      <c r="AGS11" s="167"/>
      <c r="AGT11" s="167"/>
      <c r="AGU11" s="167"/>
      <c r="AGV11" s="167"/>
      <c r="AGW11" s="167"/>
      <c r="AGX11" s="167"/>
      <c r="AGY11" s="167"/>
      <c r="AGZ11" s="167"/>
      <c r="AHA11" s="167"/>
      <c r="AHB11" s="167"/>
      <c r="AHC11" s="167"/>
      <c r="AHD11" s="167"/>
      <c r="AHE11" s="167"/>
      <c r="AHF11" s="167"/>
      <c r="AHG11" s="167"/>
      <c r="AHH11" s="167"/>
      <c r="AHI11" s="167"/>
      <c r="AHJ11" s="167"/>
      <c r="AHK11" s="167"/>
      <c r="AHL11" s="167"/>
      <c r="AHM11" s="167"/>
      <c r="AHN11" s="167"/>
      <c r="AHO11" s="167"/>
      <c r="AHP11" s="167"/>
      <c r="AHQ11" s="167"/>
      <c r="AHR11" s="167"/>
      <c r="AHS11" s="167"/>
      <c r="AHT11" s="167"/>
      <c r="AHU11" s="167"/>
      <c r="AHV11" s="167"/>
      <c r="AHW11" s="167"/>
      <c r="AHX11" s="167"/>
      <c r="AHY11" s="167"/>
      <c r="AHZ11" s="167"/>
      <c r="AIA11" s="167"/>
      <c r="AIB11" s="167"/>
      <c r="AIC11" s="167"/>
      <c r="AID11" s="167"/>
      <c r="AIE11" s="167"/>
      <c r="AIF11" s="167"/>
      <c r="AIG11" s="167"/>
      <c r="AIH11" s="167"/>
      <c r="AII11" s="167"/>
      <c r="AIJ11" s="167"/>
      <c r="AIK11" s="167"/>
      <c r="AIL11" s="167"/>
      <c r="AIM11" s="167"/>
      <c r="AIN11" s="167"/>
      <c r="AIO11" s="167"/>
      <c r="AIP11" s="167"/>
      <c r="AIQ11" s="167"/>
      <c r="AIR11" s="167"/>
      <c r="AIS11" s="167"/>
      <c r="AIT11" s="167"/>
      <c r="AIU11" s="167"/>
      <c r="AIV11" s="167"/>
      <c r="AIW11" s="167"/>
      <c r="AIX11" s="167"/>
      <c r="AIY11" s="167"/>
      <c r="AIZ11" s="167"/>
      <c r="AJA11" s="167"/>
      <c r="AJB11" s="167"/>
      <c r="AJC11" s="167"/>
      <c r="AJD11" s="167"/>
      <c r="AJE11" s="167"/>
      <c r="AJF11" s="167"/>
      <c r="AJG11" s="167"/>
      <c r="AJH11" s="167"/>
      <c r="AJI11" s="167"/>
      <c r="AJJ11" s="167"/>
      <c r="AJK11" s="167"/>
      <c r="AJL11" s="167"/>
      <c r="AJM11" s="167"/>
      <c r="AJN11" s="167"/>
      <c r="AJO11" s="167"/>
      <c r="AJP11" s="167"/>
      <c r="AJQ11" s="167"/>
      <c r="AJR11" s="167"/>
      <c r="AJS11" s="167"/>
      <c r="AJT11" s="167"/>
      <c r="AJU11" s="167"/>
      <c r="AJV11" s="167"/>
      <c r="AJW11" s="167"/>
      <c r="AJX11" s="167"/>
      <c r="AJY11" s="167"/>
      <c r="AJZ11" s="167"/>
      <c r="AKA11" s="167"/>
      <c r="AKB11" s="167"/>
      <c r="AKC11" s="167"/>
      <c r="AKD11" s="167"/>
      <c r="AKE11" s="167"/>
      <c r="AKF11" s="167"/>
      <c r="AKG11" s="167"/>
      <c r="AKH11" s="167"/>
      <c r="AKI11" s="167"/>
      <c r="AKJ11" s="167"/>
      <c r="AKK11" s="167"/>
      <c r="AKL11" s="167"/>
      <c r="AKM11" s="167"/>
      <c r="AKN11" s="167"/>
      <c r="AKO11" s="167"/>
      <c r="AKP11" s="167"/>
      <c r="AKQ11" s="167"/>
      <c r="AKR11" s="167"/>
      <c r="AKS11" s="167"/>
      <c r="AKT11" s="167"/>
      <c r="AKU11" s="167"/>
      <c r="AKV11" s="167"/>
      <c r="AKW11" s="167"/>
      <c r="AKX11" s="167"/>
      <c r="AKY11" s="167"/>
      <c r="AKZ11" s="167"/>
      <c r="ALA11" s="167"/>
      <c r="ALB11" s="167"/>
      <c r="ALC11" s="167"/>
      <c r="ALD11" s="167"/>
      <c r="ALE11" s="167"/>
      <c r="ALF11" s="167"/>
      <c r="ALG11" s="167"/>
      <c r="ALH11" s="167"/>
      <c r="ALI11" s="167"/>
      <c r="ALJ11" s="167"/>
      <c r="ALK11" s="167"/>
      <c r="ALL11" s="167"/>
      <c r="ALM11" s="167"/>
      <c r="ALN11" s="167"/>
      <c r="ALO11" s="167"/>
      <c r="ALP11" s="167"/>
      <c r="ALQ11" s="167"/>
      <c r="ALR11" s="167"/>
      <c r="ALS11" s="167"/>
      <c r="ALT11" s="167"/>
      <c r="ALU11" s="167"/>
      <c r="ALV11" s="167"/>
      <c r="ALW11" s="167"/>
      <c r="ALX11" s="167"/>
      <c r="ALY11" s="167"/>
      <c r="ALZ11" s="167"/>
      <c r="AMA11" s="167"/>
      <c r="AMB11" s="167"/>
      <c r="AMC11" s="167"/>
      <c r="AMD11" s="167"/>
      <c r="AME11" s="167"/>
      <c r="AMF11" s="167"/>
      <c r="AMG11" s="167"/>
      <c r="AMH11" s="167"/>
      <c r="AMI11" s="167"/>
      <c r="AMJ11" s="167"/>
      <c r="AMK11" s="167"/>
      <c r="AML11" s="167"/>
      <c r="AMM11" s="167"/>
      <c r="AMN11" s="167"/>
      <c r="AMO11" s="167"/>
      <c r="AMP11" s="167"/>
      <c r="AMQ11" s="167"/>
      <c r="AMR11" s="167"/>
      <c r="AMS11" s="167"/>
      <c r="AMT11" s="167"/>
      <c r="AMU11" s="167"/>
      <c r="AMV11" s="167"/>
      <c r="AMW11" s="167"/>
      <c r="AMX11" s="167"/>
      <c r="AMY11" s="167"/>
      <c r="AMZ11" s="167"/>
      <c r="ANA11" s="167"/>
      <c r="ANB11" s="167"/>
      <c r="ANC11" s="167"/>
      <c r="AND11" s="167"/>
      <c r="ANE11" s="167"/>
      <c r="ANF11" s="167"/>
      <c r="ANG11" s="167"/>
      <c r="ANH11" s="167"/>
      <c r="ANI11" s="167"/>
      <c r="ANJ11" s="167"/>
      <c r="ANK11" s="167"/>
      <c r="ANL11" s="167"/>
      <c r="ANM11" s="167"/>
      <c r="ANN11" s="167"/>
      <c r="ANO11" s="167"/>
      <c r="ANP11" s="167"/>
      <c r="ANQ11" s="167"/>
      <c r="ANR11" s="167"/>
      <c r="ANS11" s="167"/>
      <c r="ANT11" s="167"/>
      <c r="ANU11" s="167"/>
      <c r="ANV11" s="167"/>
      <c r="ANW11" s="167"/>
      <c r="ANX11" s="167"/>
      <c r="ANY11" s="167"/>
      <c r="ANZ11" s="167"/>
      <c r="AOA11" s="167"/>
      <c r="AOB11" s="167"/>
      <c r="AOC11" s="167"/>
      <c r="AOD11" s="167"/>
      <c r="AOE11" s="167"/>
      <c r="AOF11" s="167"/>
      <c r="AOG11" s="167"/>
      <c r="AOH11" s="167"/>
      <c r="AOI11" s="167"/>
      <c r="AOJ11" s="167"/>
      <c r="AOK11" s="167"/>
      <c r="AOL11" s="167"/>
      <c r="AOM11" s="167"/>
      <c r="AON11" s="167"/>
      <c r="AOO11" s="167"/>
      <c r="AOP11" s="167"/>
      <c r="AOQ11" s="167"/>
      <c r="AOR11" s="167"/>
      <c r="AOS11" s="167"/>
      <c r="AOT11" s="167"/>
      <c r="AOU11" s="167"/>
      <c r="AOV11" s="167"/>
      <c r="AOW11" s="167"/>
      <c r="AOX11" s="167"/>
      <c r="AOY11" s="167"/>
      <c r="AOZ11" s="167"/>
      <c r="APA11" s="167"/>
      <c r="APB11" s="167"/>
      <c r="APC11" s="167"/>
      <c r="APD11" s="167"/>
      <c r="APE11" s="167"/>
      <c r="APF11" s="167"/>
      <c r="APG11" s="167"/>
      <c r="APH11" s="167"/>
      <c r="API11" s="167"/>
      <c r="APJ11" s="167"/>
      <c r="APK11" s="167"/>
      <c r="APL11" s="167"/>
      <c r="APM11" s="167"/>
      <c r="APN11" s="167"/>
      <c r="APO11" s="167"/>
      <c r="APP11" s="167"/>
      <c r="APQ11" s="167"/>
      <c r="APR11" s="167"/>
      <c r="APS11" s="167"/>
      <c r="APT11" s="167"/>
      <c r="APU11" s="167"/>
      <c r="APV11" s="167"/>
      <c r="APW11" s="167"/>
      <c r="APX11" s="167"/>
      <c r="APY11" s="167"/>
      <c r="APZ11" s="167"/>
      <c r="AQA11" s="167"/>
      <c r="AQB11" s="167"/>
      <c r="AQC11" s="167"/>
      <c r="AQD11" s="167"/>
      <c r="AQE11" s="167"/>
      <c r="AQF11" s="167"/>
      <c r="AQG11" s="167"/>
      <c r="AQH11" s="167"/>
      <c r="AQI11" s="167"/>
      <c r="AQJ11" s="167"/>
      <c r="AQK11" s="167"/>
      <c r="AQL11" s="167"/>
      <c r="AQM11" s="167"/>
      <c r="AQN11" s="167"/>
      <c r="AQO11" s="167"/>
      <c r="AQP11" s="167"/>
      <c r="AQQ11" s="167"/>
      <c r="AQR11" s="167"/>
      <c r="AQS11" s="167"/>
      <c r="AQT11" s="167"/>
      <c r="AQU11" s="167"/>
      <c r="AQV11" s="167"/>
      <c r="AQW11" s="167"/>
      <c r="AQX11" s="167"/>
      <c r="AQY11" s="167"/>
      <c r="AQZ11" s="167"/>
      <c r="ARA11" s="167"/>
      <c r="ARB11" s="167"/>
      <c r="ARC11" s="167"/>
      <c r="ARD11" s="167"/>
      <c r="ARE11" s="167"/>
      <c r="ARF11" s="167"/>
      <c r="ARG11" s="167"/>
      <c r="ARH11" s="167"/>
      <c r="ARI11" s="167"/>
      <c r="ARJ11" s="167"/>
      <c r="ARK11" s="167"/>
      <c r="ARL11" s="167"/>
      <c r="ARM11" s="167"/>
      <c r="ARN11" s="167"/>
      <c r="ARO11" s="167"/>
      <c r="ARP11" s="167"/>
      <c r="ARQ11" s="167"/>
      <c r="ARR11" s="167"/>
      <c r="ARS11" s="167"/>
      <c r="ART11" s="167"/>
      <c r="ARU11" s="167"/>
      <c r="ARV11" s="167"/>
      <c r="ARW11" s="167"/>
      <c r="ARX11" s="167"/>
      <c r="ARY11" s="167"/>
      <c r="ARZ11" s="167"/>
      <c r="ASA11" s="167"/>
      <c r="ASB11" s="167"/>
      <c r="ASC11" s="167"/>
      <c r="ASD11" s="167"/>
      <c r="ASE11" s="167"/>
      <c r="ASF11" s="167"/>
      <c r="ASG11" s="167"/>
      <c r="ASH11" s="167"/>
      <c r="ASI11" s="167"/>
      <c r="ASJ11" s="167"/>
      <c r="ASK11" s="167"/>
      <c r="ASL11" s="167"/>
      <c r="ASM11" s="167"/>
      <c r="ASN11" s="167"/>
      <c r="ASO11" s="167"/>
      <c r="ASP11" s="167"/>
      <c r="ASQ11" s="167"/>
      <c r="ASR11" s="167"/>
      <c r="ASS11" s="167"/>
      <c r="AST11" s="167"/>
      <c r="ASU11" s="167"/>
      <c r="ASV11" s="167"/>
      <c r="ASW11" s="167"/>
      <c r="ASX11" s="167"/>
      <c r="ASY11" s="167"/>
      <c r="ASZ11" s="167"/>
      <c r="ATA11" s="167"/>
      <c r="ATB11" s="167"/>
      <c r="ATC11" s="167"/>
      <c r="ATD11" s="167"/>
      <c r="ATE11" s="167"/>
      <c r="ATF11" s="167"/>
      <c r="ATG11" s="167"/>
      <c r="ATH11" s="167"/>
      <c r="ATI11" s="167"/>
      <c r="ATJ11" s="167"/>
      <c r="ATK11" s="167"/>
      <c r="ATL11" s="167"/>
      <c r="ATM11" s="167"/>
      <c r="ATN11" s="167"/>
      <c r="ATO11" s="167"/>
      <c r="ATP11" s="167"/>
      <c r="ATQ11" s="167"/>
      <c r="ATR11" s="167"/>
      <c r="ATS11" s="167"/>
      <c r="ATT11" s="167"/>
      <c r="ATU11" s="167"/>
      <c r="ATV11" s="167"/>
      <c r="ATW11" s="167"/>
      <c r="ATX11" s="167"/>
      <c r="ATY11" s="167"/>
      <c r="ATZ11" s="167"/>
      <c r="AUA11" s="167"/>
      <c r="AUB11" s="167"/>
      <c r="AUC11" s="167"/>
      <c r="AUD11" s="167"/>
      <c r="AUE11" s="167"/>
      <c r="AUF11" s="167"/>
      <c r="AUG11" s="167"/>
      <c r="AUH11" s="167"/>
      <c r="AUI11" s="167"/>
      <c r="AUJ11" s="167"/>
      <c r="AUK11" s="167"/>
      <c r="AUL11" s="167"/>
      <c r="AUM11" s="167"/>
      <c r="AUN11" s="167"/>
      <c r="AUO11" s="167"/>
      <c r="AUP11" s="167"/>
      <c r="AUQ11" s="167"/>
      <c r="AUR11" s="167"/>
      <c r="AUS11" s="167"/>
      <c r="AUT11" s="167"/>
      <c r="AUU11" s="167"/>
      <c r="AUV11" s="167"/>
      <c r="AUW11" s="167"/>
      <c r="AUX11" s="167"/>
      <c r="AUY11" s="167"/>
      <c r="AUZ11" s="167"/>
      <c r="AVA11" s="167"/>
      <c r="AVB11" s="167"/>
      <c r="AVC11" s="167"/>
      <c r="AVD11" s="167"/>
      <c r="AVE11" s="167"/>
      <c r="AVF11" s="167"/>
      <c r="AVG11" s="167"/>
      <c r="AVH11" s="167"/>
      <c r="AVI11" s="167"/>
      <c r="AVJ11" s="167"/>
      <c r="AVK11" s="167"/>
      <c r="AVL11" s="167"/>
      <c r="AVM11" s="167"/>
      <c r="AVN11" s="167"/>
      <c r="AVO11" s="167"/>
      <c r="AVP11" s="167"/>
      <c r="AVQ11" s="167"/>
      <c r="AVR11" s="167"/>
      <c r="AVS11" s="167"/>
      <c r="AVT11" s="167"/>
      <c r="AVU11" s="167"/>
      <c r="AVV11" s="167"/>
      <c r="AVW11" s="167"/>
      <c r="AVX11" s="167"/>
      <c r="AVY11" s="167"/>
      <c r="AVZ11" s="167"/>
      <c r="AWA11" s="167"/>
      <c r="AWB11" s="167"/>
      <c r="AWC11" s="167"/>
      <c r="AWD11" s="167"/>
      <c r="AWE11" s="167"/>
      <c r="AWF11" s="167"/>
      <c r="AWG11" s="167"/>
      <c r="AWH11" s="167"/>
      <c r="AWI11" s="167"/>
      <c r="AWJ11" s="167"/>
      <c r="AWK11" s="167"/>
      <c r="AWL11" s="167"/>
      <c r="AWM11" s="167"/>
      <c r="AWN11" s="167"/>
      <c r="AWO11" s="167"/>
      <c r="AWP11" s="167"/>
      <c r="AWQ11" s="167"/>
      <c r="AWR11" s="167"/>
      <c r="AWS11" s="167"/>
      <c r="AWT11" s="167"/>
      <c r="AWU11" s="167"/>
      <c r="AWV11" s="167"/>
      <c r="AWW11" s="167"/>
      <c r="AWX11" s="167"/>
      <c r="AWY11" s="167"/>
      <c r="AWZ11" s="167"/>
      <c r="AXA11" s="167"/>
      <c r="AXB11" s="167"/>
      <c r="AXC11" s="167"/>
      <c r="AXD11" s="167"/>
      <c r="AXE11" s="167"/>
      <c r="AXF11" s="167"/>
      <c r="AXG11" s="167"/>
      <c r="AXH11" s="167"/>
      <c r="AXI11" s="167"/>
      <c r="AXJ11" s="167"/>
      <c r="AXK11" s="167"/>
      <c r="AXL11" s="167"/>
      <c r="AXM11" s="167"/>
      <c r="AXN11" s="167"/>
      <c r="AXO11" s="167"/>
      <c r="AXP11" s="167"/>
      <c r="AXQ11" s="167"/>
      <c r="AXR11" s="167"/>
      <c r="AXS11" s="167"/>
      <c r="AXT11" s="167"/>
      <c r="AXU11" s="167"/>
      <c r="AXV11" s="167"/>
      <c r="AXW11" s="167"/>
      <c r="AXX11" s="167"/>
      <c r="AXY11" s="167"/>
      <c r="AXZ11" s="167"/>
      <c r="AYA11" s="167"/>
      <c r="AYB11" s="167"/>
      <c r="AYC11" s="167"/>
      <c r="AYD11" s="167"/>
      <c r="AYE11" s="167"/>
      <c r="AYF11" s="167"/>
      <c r="AYG11" s="167"/>
      <c r="AYH11" s="167"/>
      <c r="AYI11" s="167"/>
      <c r="AYJ11" s="167"/>
      <c r="AYK11" s="167"/>
      <c r="AYL11" s="167"/>
      <c r="AYM11" s="167"/>
      <c r="AYN11" s="167"/>
      <c r="AYO11" s="167"/>
      <c r="AYP11" s="167"/>
      <c r="AYQ11" s="167"/>
      <c r="AYR11" s="167"/>
      <c r="AYS11" s="167"/>
      <c r="AYT11" s="167"/>
      <c r="AYU11" s="167"/>
      <c r="AYV11" s="167"/>
      <c r="AYW11" s="167"/>
      <c r="AYX11" s="167"/>
      <c r="AYY11" s="167"/>
      <c r="AYZ11" s="167"/>
      <c r="AZA11" s="167"/>
      <c r="AZB11" s="167"/>
      <c r="AZC11" s="167"/>
      <c r="AZD11" s="167"/>
      <c r="AZE11" s="167"/>
      <c r="AZF11" s="167"/>
      <c r="AZG11" s="167"/>
      <c r="AZH11" s="167"/>
      <c r="AZI11" s="167"/>
      <c r="AZJ11" s="167"/>
      <c r="AZK11" s="167"/>
      <c r="AZL11" s="167"/>
      <c r="AZM11" s="167"/>
      <c r="AZN11" s="167"/>
      <c r="AZO11" s="167"/>
      <c r="AZP11" s="167"/>
      <c r="AZQ11" s="167"/>
      <c r="AZR11" s="167"/>
      <c r="AZS11" s="167"/>
      <c r="AZT11" s="167"/>
      <c r="AZU11" s="167"/>
      <c r="AZV11" s="167"/>
      <c r="AZW11" s="167"/>
      <c r="AZX11" s="167"/>
      <c r="AZY11" s="167"/>
      <c r="AZZ11" s="167"/>
      <c r="BAA11" s="167"/>
      <c r="BAB11" s="167"/>
      <c r="BAC11" s="167"/>
      <c r="BAD11" s="167"/>
      <c r="BAE11" s="167"/>
      <c r="BAF11" s="167"/>
      <c r="BAG11" s="167"/>
      <c r="BAH11" s="167"/>
      <c r="BAI11" s="167"/>
      <c r="BAJ11" s="167"/>
      <c r="BAK11" s="167"/>
      <c r="BAL11" s="167"/>
      <c r="BAM11" s="167"/>
      <c r="BAN11" s="167"/>
      <c r="BAO11" s="167"/>
      <c r="BAP11" s="167"/>
      <c r="BAQ11" s="167"/>
      <c r="BAR11" s="167"/>
      <c r="BAS11" s="167"/>
      <c r="BAT11" s="167"/>
      <c r="BAU11" s="167"/>
      <c r="BAV11" s="167"/>
      <c r="BAW11" s="167"/>
      <c r="BAX11" s="167"/>
      <c r="BAY11" s="167"/>
      <c r="BAZ11" s="167"/>
      <c r="BBA11" s="167"/>
      <c r="BBB11" s="167"/>
      <c r="BBC11" s="167"/>
      <c r="BBD11" s="167"/>
      <c r="BBE11" s="167"/>
      <c r="BBF11" s="167"/>
      <c r="BBG11" s="167"/>
      <c r="BBH11" s="167"/>
      <c r="BBI11" s="167"/>
      <c r="BBJ11" s="167"/>
      <c r="BBK11" s="167"/>
      <c r="BBL11" s="167"/>
      <c r="BBM11" s="167"/>
      <c r="BBN11" s="167"/>
      <c r="BBO11" s="167"/>
      <c r="BBP11" s="167"/>
      <c r="BBQ11" s="167"/>
      <c r="BBR11" s="167"/>
      <c r="BBS11" s="167"/>
      <c r="BBT11" s="167"/>
      <c r="BBU11" s="167"/>
      <c r="BBV11" s="167"/>
      <c r="BBW11" s="167"/>
      <c r="BBX11" s="167"/>
      <c r="BBY11" s="167"/>
      <c r="BBZ11" s="167"/>
      <c r="BCA11" s="167"/>
      <c r="BCB11" s="167"/>
      <c r="BCC11" s="167"/>
      <c r="BCD11" s="167"/>
      <c r="BCE11" s="167"/>
      <c r="BCF11" s="167"/>
      <c r="BCG11" s="167"/>
      <c r="BCH11" s="167"/>
      <c r="BCI11" s="167"/>
      <c r="BCJ11" s="167"/>
      <c r="BCK11" s="167"/>
      <c r="BCL11" s="167"/>
      <c r="BCM11" s="167"/>
      <c r="BCN11" s="167"/>
      <c r="BCO11" s="167"/>
      <c r="BCP11" s="167"/>
      <c r="BCQ11" s="167"/>
      <c r="BCR11" s="167"/>
      <c r="BCS11" s="167"/>
      <c r="BCT11" s="167"/>
      <c r="BCU11" s="167"/>
      <c r="BCV11" s="167"/>
      <c r="BCW11" s="167"/>
      <c r="BCX11" s="167"/>
      <c r="BCY11" s="167"/>
      <c r="BCZ11" s="167"/>
      <c r="BDA11" s="167"/>
      <c r="BDB11" s="167"/>
      <c r="BDC11" s="167"/>
      <c r="BDD11" s="167"/>
      <c r="BDE11" s="167"/>
      <c r="BDF11" s="167"/>
      <c r="BDG11" s="167"/>
      <c r="BDH11" s="167"/>
      <c r="BDI11" s="167"/>
      <c r="BDJ11" s="167"/>
      <c r="BDK11" s="167"/>
      <c r="BDL11" s="167"/>
      <c r="BDM11" s="167"/>
      <c r="BDN11" s="167"/>
      <c r="BDO11" s="167"/>
      <c r="BDP11" s="167"/>
      <c r="BDQ11" s="167"/>
      <c r="BDR11" s="167"/>
      <c r="BDS11" s="167"/>
      <c r="BDT11" s="167"/>
      <c r="BDU11" s="167"/>
      <c r="BDV11" s="167"/>
      <c r="BDW11" s="167"/>
      <c r="BDX11" s="167"/>
      <c r="BDY11" s="167"/>
      <c r="BDZ11" s="167"/>
      <c r="BEA11" s="167"/>
      <c r="BEB11" s="167"/>
      <c r="BEC11" s="167"/>
      <c r="BED11" s="167"/>
      <c r="BEE11" s="167"/>
      <c r="BEF11" s="167"/>
      <c r="BEG11" s="167"/>
      <c r="BEH11" s="167"/>
      <c r="BEI11" s="167"/>
      <c r="BEJ11" s="167"/>
      <c r="BEK11" s="167"/>
      <c r="BEL11" s="167"/>
      <c r="BEM11" s="167"/>
      <c r="BEN11" s="167"/>
      <c r="BEO11" s="167"/>
      <c r="BEP11" s="167"/>
      <c r="BEQ11" s="167"/>
      <c r="BER11" s="167"/>
      <c r="BES11" s="167"/>
      <c r="BET11" s="167"/>
      <c r="BEU11" s="167"/>
      <c r="BEV11" s="167"/>
      <c r="BEW11" s="167"/>
      <c r="BEX11" s="167"/>
      <c r="BEY11" s="167"/>
      <c r="BEZ11" s="167"/>
      <c r="BFA11" s="167"/>
      <c r="BFB11" s="167"/>
      <c r="BFC11" s="167"/>
      <c r="BFD11" s="167"/>
      <c r="BFE11" s="167"/>
      <c r="BFF11" s="167"/>
      <c r="BFG11" s="167"/>
      <c r="BFH11" s="167"/>
      <c r="BFI11" s="167"/>
      <c r="BFJ11" s="167"/>
      <c r="BFK11" s="167"/>
      <c r="BFL11" s="167"/>
      <c r="BFM11" s="167"/>
      <c r="BFN11" s="167"/>
      <c r="BFO11" s="167"/>
      <c r="BFP11" s="167"/>
      <c r="BFQ11" s="167"/>
      <c r="BFR11" s="167"/>
      <c r="BFS11" s="167"/>
      <c r="BFT11" s="167"/>
      <c r="BFU11" s="167"/>
      <c r="BFV11" s="167"/>
      <c r="BFW11" s="167"/>
      <c r="BFX11" s="167"/>
      <c r="BFY11" s="167"/>
      <c r="BFZ11" s="167"/>
      <c r="BGA11" s="167"/>
      <c r="BGB11" s="167"/>
      <c r="BGC11" s="167"/>
      <c r="BGD11" s="167"/>
      <c r="BGE11" s="167"/>
      <c r="BGF11" s="167"/>
      <c r="BGG11" s="167"/>
      <c r="BGH11" s="167"/>
      <c r="BGI11" s="167"/>
      <c r="BGJ11" s="167"/>
      <c r="BGK11" s="167"/>
      <c r="BGL11" s="167"/>
      <c r="BGM11" s="167"/>
      <c r="BGN11" s="167"/>
      <c r="BGO11" s="167"/>
      <c r="BGP11" s="167"/>
      <c r="BGQ11" s="167"/>
      <c r="BGR11" s="167"/>
      <c r="BGS11" s="167"/>
      <c r="BGT11" s="167"/>
      <c r="BGU11" s="167"/>
      <c r="BGV11" s="167"/>
      <c r="BGW11" s="167"/>
      <c r="BGX11" s="167"/>
      <c r="BGY11" s="167"/>
      <c r="BGZ11" s="167"/>
      <c r="BHA11" s="167"/>
      <c r="BHB11" s="167"/>
      <c r="BHC11" s="167"/>
      <c r="BHD11" s="167"/>
      <c r="BHE11" s="167"/>
      <c r="BHF11" s="167"/>
      <c r="BHG11" s="167"/>
      <c r="BHH11" s="167"/>
      <c r="BHI11" s="167"/>
      <c r="BHJ11" s="167"/>
      <c r="BHK11" s="167"/>
      <c r="BHL11" s="167"/>
      <c r="BHM11" s="167"/>
      <c r="BHN11" s="167"/>
      <c r="BHO11" s="167"/>
      <c r="BHP11" s="167"/>
      <c r="BHQ11" s="167"/>
      <c r="BHR11" s="167"/>
      <c r="BHS11" s="167"/>
      <c r="BHT11" s="167"/>
      <c r="BHU11" s="167"/>
      <c r="BHV11" s="167"/>
      <c r="BHW11" s="167"/>
      <c r="BHX11" s="167"/>
      <c r="BHY11" s="167"/>
      <c r="BHZ11" s="167"/>
      <c r="BIA11" s="167"/>
      <c r="BIB11" s="167"/>
      <c r="BIC11" s="167"/>
      <c r="BID11" s="167"/>
      <c r="BIE11" s="167"/>
      <c r="BIF11" s="167"/>
      <c r="BIG11" s="167"/>
      <c r="BIH11" s="167"/>
      <c r="BII11" s="167"/>
      <c r="BIJ11" s="167"/>
      <c r="BIK11" s="167"/>
      <c r="BIL11" s="167"/>
      <c r="BIM11" s="167"/>
      <c r="BIN11" s="167"/>
      <c r="BIO11" s="167"/>
      <c r="BIP11" s="167"/>
      <c r="BIQ11" s="167"/>
      <c r="BIR11" s="167"/>
      <c r="BIS11" s="167"/>
      <c r="BIT11" s="167"/>
      <c r="BIU11" s="167"/>
      <c r="BIV11" s="167"/>
      <c r="BIW11" s="167"/>
      <c r="BIX11" s="167"/>
      <c r="BIY11" s="167"/>
      <c r="BIZ11" s="167"/>
      <c r="BJA11" s="167"/>
      <c r="BJB11" s="167"/>
      <c r="BJC11" s="167"/>
      <c r="BJD11" s="167"/>
      <c r="BJE11" s="167"/>
      <c r="BJF11" s="167"/>
      <c r="BJG11" s="167"/>
      <c r="BJH11" s="167"/>
      <c r="BJI11" s="167"/>
      <c r="BJJ11" s="167"/>
      <c r="BJK11" s="167"/>
      <c r="BJL11" s="167"/>
      <c r="BJM11" s="167"/>
      <c r="BJN11" s="167"/>
      <c r="BJO11" s="167"/>
      <c r="BJP11" s="167"/>
      <c r="BJQ11" s="167"/>
      <c r="BJR11" s="167"/>
      <c r="BJS11" s="167"/>
      <c r="BJT11" s="167"/>
      <c r="BJU11" s="167"/>
      <c r="BJV11" s="167"/>
      <c r="BJW11" s="167"/>
      <c r="BJX11" s="167"/>
      <c r="BJY11" s="167"/>
      <c r="BJZ11" s="167"/>
      <c r="BKA11" s="167"/>
      <c r="BKB11" s="167"/>
      <c r="BKC11" s="167"/>
      <c r="BKD11" s="167"/>
      <c r="BKE11" s="167"/>
      <c r="BKF11" s="167"/>
      <c r="BKG11" s="167"/>
      <c r="BKH11" s="167"/>
      <c r="BKI11" s="167"/>
      <c r="BKJ11" s="167"/>
      <c r="BKK11" s="167"/>
      <c r="BKL11" s="167"/>
      <c r="BKM11" s="167"/>
      <c r="BKN11" s="167"/>
      <c r="BKO11" s="167"/>
      <c r="BKP11" s="167"/>
      <c r="BKQ11" s="167"/>
      <c r="BKR11" s="167"/>
      <c r="BKS11" s="167"/>
      <c r="BKT11" s="167"/>
      <c r="BKU11" s="167"/>
      <c r="BKV11" s="167"/>
      <c r="BKW11" s="167"/>
      <c r="BKX11" s="167"/>
      <c r="BKY11" s="167"/>
      <c r="BKZ11" s="167"/>
      <c r="BLA11" s="167"/>
      <c r="BLB11" s="167"/>
      <c r="BLC11" s="167"/>
      <c r="BLD11" s="167"/>
      <c r="BLE11" s="167"/>
      <c r="BLF11" s="167"/>
      <c r="BLG11" s="167"/>
      <c r="BLH11" s="167"/>
      <c r="BLI11" s="167"/>
      <c r="BLJ11" s="167"/>
      <c r="BLK11" s="167"/>
      <c r="BLL11" s="167"/>
      <c r="BLM11" s="167"/>
      <c r="BLN11" s="167"/>
      <c r="BLO11" s="167"/>
      <c r="BLP11" s="167"/>
      <c r="BLQ11" s="167"/>
      <c r="BLR11" s="167"/>
      <c r="BLS11" s="167"/>
      <c r="BLT11" s="167"/>
      <c r="BLU11" s="167"/>
      <c r="BLV11" s="167"/>
      <c r="BLW11" s="167"/>
      <c r="BLX11" s="167"/>
      <c r="BLY11" s="167"/>
      <c r="BLZ11" s="167"/>
      <c r="BMA11" s="167"/>
      <c r="BMB11" s="167"/>
      <c r="BMC11" s="167"/>
      <c r="BMD11" s="167"/>
      <c r="BME11" s="167"/>
      <c r="BMF11" s="167"/>
      <c r="BMG11" s="167"/>
      <c r="BMH11" s="167"/>
      <c r="BMI11" s="167"/>
      <c r="BMJ11" s="167"/>
      <c r="BMK11" s="167"/>
      <c r="BML11" s="167"/>
      <c r="BMM11" s="167"/>
      <c r="BMN11" s="167"/>
      <c r="BMO11" s="167"/>
      <c r="BMP11" s="167"/>
      <c r="BMQ11" s="167"/>
      <c r="BMR11" s="167"/>
      <c r="BMS11" s="167"/>
      <c r="BMT11" s="167"/>
      <c r="BMU11" s="167"/>
      <c r="BMV11" s="167"/>
      <c r="BMW11" s="167"/>
      <c r="BMX11" s="167"/>
      <c r="BMY11" s="167"/>
      <c r="BMZ11" s="167"/>
      <c r="BNA11" s="167"/>
      <c r="BNB11" s="167"/>
      <c r="BNC11" s="167"/>
      <c r="BND11" s="167"/>
      <c r="BNE11" s="167"/>
      <c r="BNF11" s="167"/>
      <c r="BNG11" s="167"/>
      <c r="BNH11" s="167"/>
      <c r="BNI11" s="167"/>
      <c r="BNJ11" s="167"/>
      <c r="BNK11" s="167"/>
      <c r="BNL11" s="167"/>
      <c r="BNM11" s="167"/>
      <c r="BNN11" s="167"/>
      <c r="BNO11" s="167"/>
      <c r="BNP11" s="167"/>
      <c r="BNQ11" s="167"/>
      <c r="BNR11" s="167"/>
      <c r="BNS11" s="167"/>
      <c r="BNT11" s="167"/>
      <c r="BNU11" s="167"/>
      <c r="BNV11" s="167"/>
      <c r="BNW11" s="167"/>
      <c r="BNX11" s="167"/>
      <c r="BNY11" s="167"/>
      <c r="BNZ11" s="167"/>
      <c r="BOA11" s="167"/>
      <c r="BOB11" s="167"/>
      <c r="BOC11" s="167"/>
      <c r="BOD11" s="167"/>
      <c r="BOE11" s="167"/>
      <c r="BOF11" s="167"/>
      <c r="BOG11" s="167"/>
      <c r="BOH11" s="167"/>
      <c r="BOI11" s="167"/>
      <c r="BOJ11" s="167"/>
      <c r="BOK11" s="167"/>
      <c r="BOL11" s="167"/>
      <c r="BOM11" s="167"/>
      <c r="BON11" s="167"/>
      <c r="BOO11" s="167"/>
      <c r="BOP11" s="167"/>
      <c r="BOQ11" s="167"/>
      <c r="BOR11" s="167"/>
      <c r="BOS11" s="167"/>
      <c r="BOT11" s="167"/>
      <c r="BOU11" s="167"/>
      <c r="BOV11" s="167"/>
      <c r="BOW11" s="167"/>
      <c r="BOX11" s="167"/>
      <c r="BOY11" s="167"/>
      <c r="BOZ11" s="167"/>
      <c r="BPA11" s="167"/>
      <c r="BPB11" s="167"/>
      <c r="BPC11" s="167"/>
      <c r="BPD11" s="167"/>
      <c r="BPE11" s="167"/>
      <c r="BPF11" s="167"/>
      <c r="BPG11" s="167"/>
      <c r="BPH11" s="167"/>
      <c r="BPI11" s="167"/>
      <c r="BPJ11" s="167"/>
      <c r="BPK11" s="167"/>
      <c r="BPL11" s="167"/>
      <c r="BPM11" s="167"/>
      <c r="BPN11" s="167"/>
      <c r="BPO11" s="167"/>
      <c r="BPP11" s="167"/>
      <c r="BPQ11" s="167"/>
      <c r="BPR11" s="167"/>
      <c r="BPS11" s="167"/>
      <c r="BPT11" s="167"/>
      <c r="BPU11" s="167"/>
      <c r="BPV11" s="167"/>
      <c r="BPW11" s="167"/>
      <c r="BPX11" s="167"/>
      <c r="BPY11" s="167"/>
      <c r="BPZ11" s="167"/>
      <c r="BQA11" s="167"/>
      <c r="BQB11" s="167"/>
      <c r="BQC11" s="167"/>
      <c r="BQD11" s="167"/>
      <c r="BQE11" s="167"/>
      <c r="BQF11" s="167"/>
      <c r="BQG11" s="167"/>
      <c r="BQH11" s="167"/>
      <c r="BQI11" s="167"/>
      <c r="BQJ11" s="167"/>
      <c r="BQK11" s="167"/>
      <c r="BQL11" s="167"/>
      <c r="BQM11" s="167"/>
      <c r="BQN11" s="167"/>
      <c r="BQO11" s="167"/>
      <c r="BQP11" s="167"/>
      <c r="BQQ11" s="167"/>
      <c r="BQR11" s="167"/>
      <c r="BQS11" s="167"/>
      <c r="BQT11" s="167"/>
      <c r="BQU11" s="167"/>
      <c r="BQV11" s="167"/>
      <c r="BQW11" s="167"/>
      <c r="BQX11" s="167"/>
      <c r="BQY11" s="167"/>
      <c r="BQZ11" s="167"/>
      <c r="BRA11" s="167"/>
      <c r="BRB11" s="167"/>
      <c r="BRC11" s="167"/>
      <c r="BRD11" s="167"/>
      <c r="BRE11" s="167"/>
      <c r="BRF11" s="167"/>
      <c r="BRG11" s="167"/>
      <c r="BRH11" s="167"/>
      <c r="BRI11" s="167"/>
      <c r="BRJ11" s="167"/>
      <c r="BRK11" s="167"/>
      <c r="BRL11" s="167"/>
      <c r="BRM11" s="167"/>
      <c r="BRN11" s="167"/>
      <c r="BRO11" s="167"/>
      <c r="BRP11" s="167"/>
      <c r="BRQ11" s="167"/>
      <c r="BRR11" s="167"/>
      <c r="BRS11" s="167"/>
      <c r="BRT11" s="167"/>
      <c r="BRU11" s="167"/>
      <c r="BRV11" s="167"/>
      <c r="BRW11" s="167"/>
      <c r="BRX11" s="167"/>
      <c r="BRY11" s="167"/>
      <c r="BRZ11" s="167"/>
      <c r="BSA11" s="167"/>
      <c r="BSB11" s="167"/>
      <c r="BSC11" s="167"/>
    </row>
    <row r="12" spans="1:1849" ht="15" x14ac:dyDescent="0.2">
      <c r="A12" s="412">
        <v>11</v>
      </c>
      <c r="B12" s="170" t="s">
        <v>25</v>
      </c>
      <c r="C12" s="548" t="s">
        <v>426</v>
      </c>
      <c r="D12" s="170" t="s">
        <v>26</v>
      </c>
      <c r="E12" s="170" t="s">
        <v>27</v>
      </c>
      <c r="F12" s="170">
        <v>30</v>
      </c>
      <c r="G12" s="170">
        <v>20</v>
      </c>
      <c r="H12" s="170">
        <v>29</v>
      </c>
      <c r="I12" s="170">
        <v>20</v>
      </c>
      <c r="J12" s="170">
        <v>1</v>
      </c>
      <c r="K12" s="170">
        <f t="shared" si="0"/>
        <v>600</v>
      </c>
      <c r="L12" s="170" t="s">
        <v>28</v>
      </c>
      <c r="M12" s="697" t="s">
        <v>259</v>
      </c>
      <c r="N12" s="170">
        <v>21.140499999999999</v>
      </c>
      <c r="O12" s="170">
        <v>79.055319999999995</v>
      </c>
      <c r="P12" s="170">
        <v>50000</v>
      </c>
      <c r="Q12" s="170">
        <v>60000</v>
      </c>
      <c r="R12" s="170">
        <v>90000</v>
      </c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67"/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  <c r="EG12" s="167"/>
      <c r="EH12" s="167"/>
      <c r="EI12" s="167"/>
      <c r="EJ12" s="167"/>
      <c r="EK12" s="167"/>
      <c r="EL12" s="167"/>
      <c r="EM12" s="167"/>
      <c r="EN12" s="167"/>
      <c r="EO12" s="167"/>
      <c r="EP12" s="167"/>
      <c r="EQ12" s="167"/>
      <c r="ER12" s="167"/>
      <c r="ES12" s="167"/>
      <c r="ET12" s="167"/>
      <c r="EU12" s="167"/>
      <c r="EV12" s="167"/>
      <c r="EW12" s="167"/>
      <c r="EX12" s="167"/>
      <c r="EY12" s="167"/>
      <c r="EZ12" s="167"/>
      <c r="FA12" s="167"/>
      <c r="FB12" s="167"/>
      <c r="FC12" s="167"/>
      <c r="FD12" s="167"/>
      <c r="FE12" s="167"/>
      <c r="FF12" s="167"/>
      <c r="FG12" s="167"/>
      <c r="FH12" s="167"/>
      <c r="FI12" s="167"/>
      <c r="FJ12" s="167"/>
      <c r="FK12" s="167"/>
      <c r="FL12" s="167"/>
      <c r="FM12" s="167"/>
      <c r="FN12" s="167"/>
      <c r="FO12" s="167"/>
      <c r="FP12" s="167"/>
      <c r="FQ12" s="167"/>
      <c r="FR12" s="167"/>
      <c r="FS12" s="167"/>
      <c r="FT12" s="167"/>
      <c r="FU12" s="167"/>
      <c r="FV12" s="167"/>
      <c r="FW12" s="167"/>
      <c r="FX12" s="167"/>
      <c r="FY12" s="167"/>
      <c r="FZ12" s="167"/>
      <c r="GA12" s="167"/>
      <c r="GB12" s="167"/>
      <c r="GC12" s="167"/>
      <c r="GD12" s="167"/>
      <c r="GE12" s="167"/>
      <c r="GF12" s="167"/>
      <c r="GG12" s="167"/>
      <c r="GH12" s="167"/>
      <c r="GI12" s="167"/>
      <c r="GJ12" s="167"/>
      <c r="GK12" s="167"/>
      <c r="GL12" s="167"/>
      <c r="GM12" s="167"/>
      <c r="GN12" s="167"/>
      <c r="GO12" s="167"/>
      <c r="GP12" s="167"/>
      <c r="GQ12" s="167"/>
      <c r="GR12" s="167"/>
      <c r="GS12" s="167"/>
      <c r="GT12" s="167"/>
      <c r="GU12" s="167"/>
      <c r="GV12" s="167"/>
      <c r="GW12" s="167"/>
      <c r="GX12" s="167"/>
      <c r="GY12" s="167"/>
      <c r="GZ12" s="167"/>
      <c r="HA12" s="167"/>
      <c r="HB12" s="167"/>
      <c r="HC12" s="167"/>
      <c r="HD12" s="167"/>
      <c r="HE12" s="167"/>
      <c r="HF12" s="167"/>
      <c r="HG12" s="167"/>
      <c r="HH12" s="167"/>
      <c r="HI12" s="167"/>
      <c r="HJ12" s="167"/>
      <c r="HK12" s="167"/>
      <c r="HL12" s="167"/>
      <c r="HM12" s="167"/>
      <c r="HN12" s="167"/>
      <c r="HO12" s="167"/>
      <c r="HP12" s="167"/>
      <c r="HQ12" s="167"/>
      <c r="HR12" s="167"/>
      <c r="HS12" s="167"/>
      <c r="HT12" s="167"/>
      <c r="HU12" s="167"/>
      <c r="HV12" s="167"/>
      <c r="HW12" s="167"/>
      <c r="HX12" s="167"/>
      <c r="HY12" s="167"/>
      <c r="HZ12" s="167"/>
      <c r="IA12" s="167"/>
      <c r="IB12" s="167"/>
      <c r="IC12" s="167"/>
      <c r="ID12" s="167"/>
      <c r="IE12" s="167"/>
      <c r="IF12" s="167"/>
      <c r="IG12" s="167"/>
      <c r="IH12" s="167"/>
      <c r="II12" s="167"/>
      <c r="IJ12" s="167"/>
      <c r="IK12" s="167"/>
      <c r="IL12" s="167"/>
      <c r="IM12" s="167"/>
      <c r="IN12" s="167"/>
      <c r="IO12" s="167"/>
      <c r="IP12" s="167"/>
      <c r="IQ12" s="167"/>
      <c r="IR12" s="167"/>
      <c r="IS12" s="167"/>
      <c r="IT12" s="167"/>
      <c r="IU12" s="167"/>
      <c r="IV12" s="167"/>
      <c r="IW12" s="167"/>
      <c r="IX12" s="167"/>
      <c r="IY12" s="167"/>
      <c r="IZ12" s="167"/>
      <c r="JA12" s="167"/>
      <c r="JB12" s="167"/>
      <c r="JC12" s="167"/>
      <c r="JD12" s="167"/>
      <c r="JE12" s="167"/>
      <c r="JF12" s="167"/>
      <c r="JG12" s="167"/>
      <c r="JH12" s="167"/>
      <c r="JI12" s="167"/>
      <c r="JJ12" s="167"/>
      <c r="JK12" s="167"/>
      <c r="JL12" s="167"/>
      <c r="JM12" s="167"/>
      <c r="JN12" s="167"/>
      <c r="JO12" s="167"/>
      <c r="JP12" s="167"/>
      <c r="JQ12" s="167"/>
      <c r="JR12" s="167"/>
      <c r="JS12" s="167"/>
      <c r="JT12" s="167"/>
      <c r="JU12" s="167"/>
      <c r="JV12" s="167"/>
      <c r="JW12" s="167"/>
      <c r="JX12" s="167"/>
      <c r="JY12" s="167"/>
      <c r="JZ12" s="167"/>
      <c r="KA12" s="167"/>
      <c r="KB12" s="167"/>
      <c r="KC12" s="167"/>
      <c r="KD12" s="167"/>
      <c r="KE12" s="167"/>
      <c r="KF12" s="167"/>
      <c r="KG12" s="167"/>
      <c r="KH12" s="167"/>
      <c r="KI12" s="167"/>
      <c r="KJ12" s="167"/>
      <c r="KK12" s="167"/>
      <c r="KL12" s="167"/>
      <c r="KM12" s="167"/>
      <c r="KN12" s="167"/>
      <c r="KO12" s="167"/>
      <c r="KP12" s="167"/>
      <c r="KQ12" s="167"/>
      <c r="KR12" s="167"/>
      <c r="KS12" s="167"/>
      <c r="KT12" s="167"/>
      <c r="KU12" s="167"/>
      <c r="KV12" s="167"/>
      <c r="KW12" s="167"/>
      <c r="KX12" s="167"/>
      <c r="KY12" s="167"/>
      <c r="KZ12" s="167"/>
      <c r="LA12" s="167"/>
      <c r="LB12" s="167"/>
      <c r="LC12" s="167"/>
      <c r="LD12" s="167"/>
      <c r="LE12" s="167"/>
      <c r="LF12" s="167"/>
      <c r="LG12" s="167"/>
      <c r="LH12" s="167"/>
      <c r="LI12" s="167"/>
      <c r="LJ12" s="167"/>
      <c r="LK12" s="167"/>
      <c r="LL12" s="167"/>
      <c r="LM12" s="167"/>
      <c r="LN12" s="167"/>
      <c r="LO12" s="167"/>
      <c r="LP12" s="167"/>
      <c r="LQ12" s="167"/>
      <c r="LR12" s="167"/>
      <c r="LS12" s="167"/>
      <c r="LT12" s="167"/>
      <c r="LU12" s="167"/>
      <c r="LV12" s="167"/>
      <c r="LW12" s="167"/>
      <c r="LX12" s="167"/>
      <c r="LY12" s="167"/>
      <c r="LZ12" s="167"/>
      <c r="MA12" s="167"/>
      <c r="MB12" s="167"/>
      <c r="MC12" s="167"/>
      <c r="MD12" s="167"/>
      <c r="ME12" s="167"/>
      <c r="MF12" s="167"/>
      <c r="MG12" s="167"/>
      <c r="MH12" s="167"/>
      <c r="MI12" s="167"/>
      <c r="MJ12" s="167"/>
      <c r="MK12" s="167"/>
      <c r="ML12" s="167"/>
      <c r="MM12" s="167"/>
      <c r="MN12" s="167"/>
      <c r="MO12" s="167"/>
      <c r="MP12" s="167"/>
      <c r="MQ12" s="167"/>
      <c r="MR12" s="167"/>
      <c r="MS12" s="167"/>
      <c r="MT12" s="167"/>
      <c r="MU12" s="167"/>
      <c r="MV12" s="167"/>
      <c r="MW12" s="167"/>
      <c r="MX12" s="167"/>
      <c r="MY12" s="167"/>
      <c r="MZ12" s="167"/>
      <c r="NA12" s="167"/>
      <c r="NB12" s="167"/>
      <c r="NC12" s="167"/>
      <c r="ND12" s="167"/>
      <c r="NE12" s="167"/>
      <c r="NF12" s="167"/>
      <c r="NG12" s="167"/>
      <c r="NH12" s="167"/>
      <c r="NI12" s="167"/>
      <c r="NJ12" s="167"/>
      <c r="NK12" s="167"/>
      <c r="NL12" s="167"/>
      <c r="NM12" s="167"/>
      <c r="NN12" s="167"/>
      <c r="NO12" s="167"/>
      <c r="NP12" s="167"/>
      <c r="NQ12" s="167"/>
      <c r="NR12" s="167"/>
      <c r="NS12" s="167"/>
      <c r="NT12" s="167"/>
      <c r="NU12" s="167"/>
      <c r="NV12" s="167"/>
      <c r="NW12" s="167"/>
      <c r="NX12" s="167"/>
      <c r="NY12" s="167"/>
      <c r="NZ12" s="167"/>
      <c r="OA12" s="167"/>
      <c r="OB12" s="167"/>
      <c r="OC12" s="167"/>
      <c r="OD12" s="167"/>
      <c r="OE12" s="167"/>
      <c r="OF12" s="167"/>
      <c r="OG12" s="167"/>
      <c r="OH12" s="167"/>
      <c r="OI12" s="167"/>
      <c r="OJ12" s="167"/>
      <c r="OK12" s="167"/>
      <c r="OL12" s="167"/>
      <c r="OM12" s="167"/>
      <c r="ON12" s="167"/>
      <c r="OO12" s="167"/>
      <c r="OP12" s="167"/>
      <c r="OQ12" s="167"/>
      <c r="OR12" s="167"/>
      <c r="OS12" s="167"/>
      <c r="OT12" s="167"/>
      <c r="OU12" s="167"/>
      <c r="OV12" s="167"/>
      <c r="OW12" s="167"/>
      <c r="OX12" s="167"/>
      <c r="OY12" s="167"/>
      <c r="OZ12" s="167"/>
      <c r="PA12" s="167"/>
      <c r="PB12" s="167"/>
      <c r="PC12" s="167"/>
      <c r="PD12" s="167"/>
      <c r="PE12" s="167"/>
      <c r="PF12" s="167"/>
      <c r="PG12" s="167"/>
      <c r="PH12" s="167"/>
      <c r="PI12" s="167"/>
      <c r="PJ12" s="167"/>
      <c r="PK12" s="167"/>
      <c r="PL12" s="167"/>
      <c r="PM12" s="167"/>
      <c r="PN12" s="167"/>
      <c r="PO12" s="167"/>
      <c r="PP12" s="167"/>
      <c r="PQ12" s="167"/>
      <c r="PR12" s="167"/>
      <c r="PS12" s="167"/>
      <c r="PT12" s="167"/>
      <c r="PU12" s="167"/>
      <c r="PV12" s="167"/>
      <c r="PW12" s="167"/>
      <c r="PX12" s="167"/>
      <c r="PY12" s="167"/>
      <c r="PZ12" s="167"/>
      <c r="QA12" s="167"/>
      <c r="QB12" s="167"/>
      <c r="QC12" s="167"/>
      <c r="QD12" s="167"/>
      <c r="QE12" s="167"/>
      <c r="QF12" s="167"/>
      <c r="QG12" s="167"/>
      <c r="QH12" s="167"/>
      <c r="QI12" s="167"/>
      <c r="QJ12" s="167"/>
      <c r="QK12" s="167"/>
      <c r="QL12" s="167"/>
      <c r="QM12" s="167"/>
      <c r="QN12" s="167"/>
      <c r="QO12" s="167"/>
      <c r="QP12" s="167"/>
      <c r="QQ12" s="167"/>
      <c r="QR12" s="167"/>
      <c r="QS12" s="167"/>
      <c r="QT12" s="167"/>
      <c r="QU12" s="167"/>
      <c r="QV12" s="167"/>
      <c r="QW12" s="167"/>
      <c r="QX12" s="167"/>
      <c r="QY12" s="167"/>
      <c r="QZ12" s="167"/>
      <c r="RA12" s="167"/>
      <c r="RB12" s="167"/>
      <c r="RC12" s="167"/>
      <c r="RD12" s="167"/>
      <c r="RE12" s="167"/>
      <c r="RF12" s="167"/>
      <c r="RG12" s="167"/>
      <c r="RH12" s="167"/>
      <c r="RI12" s="167"/>
      <c r="RJ12" s="167"/>
      <c r="RK12" s="167"/>
      <c r="RL12" s="167"/>
      <c r="RM12" s="167"/>
      <c r="RN12" s="167"/>
      <c r="RO12" s="167"/>
      <c r="RP12" s="167"/>
      <c r="RQ12" s="167"/>
      <c r="RR12" s="167"/>
      <c r="RS12" s="167"/>
      <c r="RT12" s="167"/>
      <c r="RU12" s="167"/>
      <c r="RV12" s="167"/>
      <c r="RW12" s="167"/>
      <c r="RX12" s="167"/>
      <c r="RY12" s="167"/>
      <c r="RZ12" s="167"/>
      <c r="SA12" s="167"/>
      <c r="SB12" s="167"/>
      <c r="SC12" s="167"/>
      <c r="SD12" s="167"/>
      <c r="SE12" s="167"/>
      <c r="SF12" s="167"/>
      <c r="SG12" s="167"/>
      <c r="SH12" s="167"/>
      <c r="SI12" s="167"/>
      <c r="SJ12" s="167"/>
      <c r="SK12" s="167"/>
      <c r="SL12" s="167"/>
      <c r="SM12" s="167"/>
      <c r="SN12" s="167"/>
      <c r="SO12" s="167"/>
      <c r="SP12" s="167"/>
      <c r="SQ12" s="167"/>
      <c r="SR12" s="167"/>
      <c r="SS12" s="167"/>
      <c r="ST12" s="167"/>
      <c r="SU12" s="167"/>
      <c r="SV12" s="167"/>
      <c r="SW12" s="167"/>
      <c r="SX12" s="167"/>
      <c r="SY12" s="167"/>
      <c r="SZ12" s="167"/>
      <c r="TA12" s="167"/>
      <c r="TB12" s="167"/>
      <c r="TC12" s="167"/>
      <c r="TD12" s="167"/>
      <c r="TE12" s="167"/>
      <c r="TF12" s="167"/>
      <c r="TG12" s="167"/>
      <c r="TH12" s="167"/>
      <c r="TI12" s="167"/>
      <c r="TJ12" s="167"/>
      <c r="TK12" s="167"/>
      <c r="TL12" s="167"/>
      <c r="TM12" s="167"/>
      <c r="TN12" s="167"/>
      <c r="TO12" s="167"/>
      <c r="TP12" s="167"/>
      <c r="TQ12" s="167"/>
      <c r="TR12" s="167"/>
      <c r="TS12" s="167"/>
      <c r="TT12" s="167"/>
      <c r="TU12" s="167"/>
      <c r="TV12" s="167"/>
      <c r="TW12" s="167"/>
      <c r="TX12" s="167"/>
      <c r="TY12" s="167"/>
      <c r="TZ12" s="167"/>
      <c r="UA12" s="167"/>
      <c r="UB12" s="167"/>
      <c r="UC12" s="167"/>
      <c r="UD12" s="167"/>
      <c r="UE12" s="167"/>
      <c r="UF12" s="167"/>
      <c r="UG12" s="167"/>
      <c r="UH12" s="167"/>
      <c r="UI12" s="167"/>
      <c r="UJ12" s="167"/>
      <c r="UK12" s="167"/>
      <c r="UL12" s="167"/>
      <c r="UM12" s="167"/>
      <c r="UN12" s="167"/>
      <c r="UO12" s="167"/>
      <c r="UP12" s="167"/>
      <c r="UQ12" s="167"/>
      <c r="UR12" s="167"/>
      <c r="US12" s="167"/>
      <c r="UT12" s="167"/>
      <c r="UU12" s="167"/>
      <c r="UV12" s="167"/>
      <c r="UW12" s="167"/>
      <c r="UX12" s="167"/>
      <c r="UY12" s="167"/>
      <c r="UZ12" s="167"/>
      <c r="VA12" s="167"/>
      <c r="VB12" s="167"/>
      <c r="VC12" s="167"/>
      <c r="VD12" s="167"/>
      <c r="VE12" s="167"/>
      <c r="VF12" s="167"/>
      <c r="VG12" s="167"/>
      <c r="VH12" s="167"/>
      <c r="VI12" s="167"/>
      <c r="VJ12" s="167"/>
      <c r="VK12" s="167"/>
      <c r="VL12" s="167"/>
      <c r="VM12" s="167"/>
      <c r="VN12" s="167"/>
      <c r="VO12" s="167"/>
      <c r="VP12" s="167"/>
      <c r="VQ12" s="167"/>
      <c r="VR12" s="167"/>
      <c r="VS12" s="167"/>
      <c r="VT12" s="167"/>
      <c r="VU12" s="167"/>
      <c r="VV12" s="167"/>
      <c r="VW12" s="167"/>
      <c r="VX12" s="167"/>
      <c r="VY12" s="167"/>
      <c r="VZ12" s="167"/>
      <c r="WA12" s="167"/>
      <c r="WB12" s="167"/>
      <c r="WC12" s="167"/>
      <c r="WD12" s="167"/>
      <c r="WE12" s="167"/>
      <c r="WF12" s="167"/>
      <c r="WG12" s="167"/>
      <c r="WH12" s="167"/>
      <c r="WI12" s="167"/>
      <c r="WJ12" s="167"/>
      <c r="WK12" s="167"/>
      <c r="WL12" s="167"/>
      <c r="WM12" s="167"/>
      <c r="WN12" s="167"/>
      <c r="WO12" s="167"/>
      <c r="WP12" s="167"/>
      <c r="WQ12" s="167"/>
      <c r="WR12" s="167"/>
      <c r="WS12" s="167"/>
      <c r="WT12" s="167"/>
      <c r="WU12" s="167"/>
      <c r="WV12" s="167"/>
      <c r="WW12" s="167"/>
      <c r="WX12" s="167"/>
      <c r="WY12" s="167"/>
      <c r="WZ12" s="167"/>
      <c r="XA12" s="167"/>
      <c r="XB12" s="167"/>
      <c r="XC12" s="167"/>
      <c r="XD12" s="167"/>
      <c r="XE12" s="167"/>
      <c r="XF12" s="167"/>
      <c r="XG12" s="167"/>
      <c r="XH12" s="167"/>
      <c r="XI12" s="167"/>
      <c r="XJ12" s="167"/>
      <c r="XK12" s="167"/>
      <c r="XL12" s="167"/>
      <c r="XM12" s="167"/>
      <c r="XN12" s="167"/>
      <c r="XO12" s="167"/>
      <c r="XP12" s="167"/>
      <c r="XQ12" s="167"/>
      <c r="XR12" s="167"/>
      <c r="XS12" s="167"/>
      <c r="XT12" s="167"/>
      <c r="XU12" s="167"/>
      <c r="XV12" s="167"/>
      <c r="XW12" s="167"/>
      <c r="XX12" s="167"/>
      <c r="XY12" s="167"/>
      <c r="XZ12" s="167"/>
      <c r="YA12" s="167"/>
      <c r="YB12" s="167"/>
      <c r="YC12" s="167"/>
      <c r="YD12" s="167"/>
      <c r="YE12" s="167"/>
      <c r="YF12" s="167"/>
      <c r="YG12" s="167"/>
      <c r="YH12" s="167"/>
      <c r="YI12" s="167"/>
      <c r="YJ12" s="167"/>
      <c r="YK12" s="167"/>
      <c r="YL12" s="167"/>
      <c r="YM12" s="167"/>
      <c r="YN12" s="167"/>
      <c r="YO12" s="167"/>
      <c r="YP12" s="167"/>
      <c r="YQ12" s="167"/>
      <c r="YR12" s="167"/>
      <c r="YS12" s="167"/>
      <c r="YT12" s="167"/>
      <c r="YU12" s="167"/>
      <c r="YV12" s="167"/>
      <c r="YW12" s="167"/>
      <c r="YX12" s="167"/>
      <c r="YY12" s="167"/>
      <c r="YZ12" s="167"/>
      <c r="ZA12" s="167"/>
      <c r="ZB12" s="167"/>
      <c r="ZC12" s="167"/>
      <c r="ZD12" s="167"/>
      <c r="ZE12" s="167"/>
      <c r="ZF12" s="167"/>
      <c r="ZG12" s="167"/>
      <c r="ZH12" s="167"/>
      <c r="ZI12" s="167"/>
      <c r="ZJ12" s="167"/>
      <c r="ZK12" s="167"/>
      <c r="ZL12" s="167"/>
      <c r="ZM12" s="167"/>
      <c r="ZN12" s="167"/>
      <c r="ZO12" s="167"/>
      <c r="ZP12" s="167"/>
      <c r="ZQ12" s="167"/>
      <c r="ZR12" s="167"/>
      <c r="ZS12" s="167"/>
      <c r="ZT12" s="167"/>
      <c r="ZU12" s="167"/>
      <c r="ZV12" s="167"/>
      <c r="ZW12" s="167"/>
      <c r="ZX12" s="167"/>
      <c r="ZY12" s="167"/>
      <c r="ZZ12" s="167"/>
      <c r="AAA12" s="167"/>
      <c r="AAB12" s="167"/>
      <c r="AAC12" s="167"/>
      <c r="AAD12" s="167"/>
      <c r="AAE12" s="167"/>
      <c r="AAF12" s="167"/>
      <c r="AAG12" s="167"/>
      <c r="AAH12" s="167"/>
      <c r="AAI12" s="167"/>
      <c r="AAJ12" s="167"/>
      <c r="AAK12" s="167"/>
      <c r="AAL12" s="167"/>
      <c r="AAM12" s="167"/>
      <c r="AAN12" s="167"/>
      <c r="AAO12" s="167"/>
      <c r="AAP12" s="167"/>
      <c r="AAQ12" s="167"/>
      <c r="AAR12" s="167"/>
      <c r="AAS12" s="167"/>
      <c r="AAT12" s="167"/>
      <c r="AAU12" s="167"/>
      <c r="AAV12" s="167"/>
      <c r="AAW12" s="167"/>
      <c r="AAX12" s="167"/>
      <c r="AAY12" s="167"/>
      <c r="AAZ12" s="167"/>
      <c r="ABA12" s="167"/>
      <c r="ABB12" s="167"/>
      <c r="ABC12" s="167"/>
      <c r="ABD12" s="167"/>
      <c r="ABE12" s="167"/>
      <c r="ABF12" s="167"/>
      <c r="ABG12" s="167"/>
      <c r="ABH12" s="167"/>
      <c r="ABI12" s="167"/>
      <c r="ABJ12" s="167"/>
      <c r="ABK12" s="167"/>
      <c r="ABL12" s="167"/>
      <c r="ABM12" s="167"/>
      <c r="ABN12" s="167"/>
      <c r="ABO12" s="167"/>
      <c r="ABP12" s="167"/>
      <c r="ABQ12" s="167"/>
      <c r="ABR12" s="167"/>
      <c r="ABS12" s="167"/>
      <c r="ABT12" s="167"/>
      <c r="ABU12" s="167"/>
      <c r="ABV12" s="167"/>
      <c r="ABW12" s="167"/>
      <c r="ABX12" s="167"/>
      <c r="ABY12" s="167"/>
      <c r="ABZ12" s="167"/>
      <c r="ACA12" s="167"/>
      <c r="ACB12" s="167"/>
      <c r="ACC12" s="167"/>
      <c r="ACD12" s="167"/>
      <c r="ACE12" s="167"/>
      <c r="ACF12" s="167"/>
      <c r="ACG12" s="167"/>
      <c r="ACH12" s="167"/>
      <c r="ACI12" s="167"/>
      <c r="ACJ12" s="167"/>
      <c r="ACK12" s="167"/>
      <c r="ACL12" s="167"/>
      <c r="ACM12" s="167"/>
      <c r="ACN12" s="167"/>
      <c r="ACO12" s="167"/>
      <c r="ACP12" s="167"/>
      <c r="ACQ12" s="167"/>
      <c r="ACR12" s="167"/>
      <c r="ACS12" s="167"/>
      <c r="ACT12" s="167"/>
      <c r="ACU12" s="167"/>
      <c r="ACV12" s="167"/>
      <c r="ACW12" s="167"/>
      <c r="ACX12" s="167"/>
      <c r="ACY12" s="167"/>
      <c r="ACZ12" s="167"/>
      <c r="ADA12" s="167"/>
      <c r="ADB12" s="167"/>
      <c r="ADC12" s="167"/>
      <c r="ADD12" s="167"/>
      <c r="ADE12" s="167"/>
      <c r="ADF12" s="167"/>
      <c r="ADG12" s="167"/>
      <c r="ADH12" s="167"/>
      <c r="ADI12" s="167"/>
      <c r="ADJ12" s="167"/>
      <c r="ADK12" s="167"/>
      <c r="ADL12" s="167"/>
      <c r="ADM12" s="167"/>
      <c r="ADN12" s="167"/>
      <c r="ADO12" s="167"/>
      <c r="ADP12" s="167"/>
      <c r="ADQ12" s="167"/>
      <c r="ADR12" s="167"/>
      <c r="ADS12" s="167"/>
      <c r="ADT12" s="167"/>
      <c r="ADU12" s="167"/>
      <c r="ADV12" s="167"/>
      <c r="ADW12" s="167"/>
      <c r="ADX12" s="167"/>
      <c r="ADY12" s="167"/>
      <c r="ADZ12" s="167"/>
      <c r="AEA12" s="167"/>
      <c r="AEB12" s="167"/>
      <c r="AEC12" s="167"/>
      <c r="AED12" s="167"/>
      <c r="AEE12" s="167"/>
      <c r="AEF12" s="167"/>
      <c r="AEG12" s="167"/>
      <c r="AEH12" s="167"/>
      <c r="AEI12" s="167"/>
      <c r="AEJ12" s="167"/>
      <c r="AEK12" s="167"/>
      <c r="AEL12" s="167"/>
      <c r="AEM12" s="167"/>
      <c r="AEN12" s="167"/>
      <c r="AEO12" s="167"/>
      <c r="AEP12" s="167"/>
      <c r="AEQ12" s="167"/>
      <c r="AER12" s="167"/>
      <c r="AES12" s="167"/>
      <c r="AET12" s="167"/>
      <c r="AEU12" s="167"/>
      <c r="AEV12" s="167"/>
      <c r="AEW12" s="167"/>
      <c r="AEX12" s="167"/>
      <c r="AEY12" s="167"/>
      <c r="AEZ12" s="167"/>
      <c r="AFA12" s="167"/>
      <c r="AFB12" s="167"/>
      <c r="AFC12" s="167"/>
      <c r="AFD12" s="167"/>
      <c r="AFE12" s="167"/>
      <c r="AFF12" s="167"/>
      <c r="AFG12" s="167"/>
      <c r="AFH12" s="167"/>
      <c r="AFI12" s="167"/>
      <c r="AFJ12" s="167"/>
      <c r="AFK12" s="167"/>
      <c r="AFL12" s="167"/>
      <c r="AFM12" s="167"/>
      <c r="AFN12" s="167"/>
      <c r="AFO12" s="167"/>
      <c r="AFP12" s="167"/>
      <c r="AFQ12" s="167"/>
      <c r="AFR12" s="167"/>
      <c r="AFS12" s="167"/>
      <c r="AFT12" s="167"/>
      <c r="AFU12" s="167"/>
      <c r="AFV12" s="167"/>
      <c r="AFW12" s="167"/>
      <c r="AFX12" s="167"/>
      <c r="AFY12" s="167"/>
      <c r="AFZ12" s="167"/>
      <c r="AGA12" s="167"/>
      <c r="AGB12" s="167"/>
      <c r="AGC12" s="167"/>
      <c r="AGD12" s="167"/>
      <c r="AGE12" s="167"/>
      <c r="AGF12" s="167"/>
      <c r="AGG12" s="167"/>
      <c r="AGH12" s="167"/>
      <c r="AGI12" s="167"/>
      <c r="AGJ12" s="167"/>
      <c r="AGK12" s="167"/>
      <c r="AGL12" s="167"/>
      <c r="AGM12" s="167"/>
      <c r="AGN12" s="167"/>
      <c r="AGO12" s="167"/>
      <c r="AGP12" s="167"/>
      <c r="AGQ12" s="167"/>
      <c r="AGR12" s="167"/>
      <c r="AGS12" s="167"/>
      <c r="AGT12" s="167"/>
      <c r="AGU12" s="167"/>
      <c r="AGV12" s="167"/>
      <c r="AGW12" s="167"/>
      <c r="AGX12" s="167"/>
      <c r="AGY12" s="167"/>
      <c r="AGZ12" s="167"/>
      <c r="AHA12" s="167"/>
      <c r="AHB12" s="167"/>
      <c r="AHC12" s="167"/>
      <c r="AHD12" s="167"/>
      <c r="AHE12" s="167"/>
      <c r="AHF12" s="167"/>
      <c r="AHG12" s="167"/>
      <c r="AHH12" s="167"/>
      <c r="AHI12" s="167"/>
      <c r="AHJ12" s="167"/>
      <c r="AHK12" s="167"/>
      <c r="AHL12" s="167"/>
      <c r="AHM12" s="167"/>
      <c r="AHN12" s="167"/>
      <c r="AHO12" s="167"/>
      <c r="AHP12" s="167"/>
      <c r="AHQ12" s="167"/>
      <c r="AHR12" s="167"/>
      <c r="AHS12" s="167"/>
      <c r="AHT12" s="167"/>
      <c r="AHU12" s="167"/>
      <c r="AHV12" s="167"/>
      <c r="AHW12" s="167"/>
      <c r="AHX12" s="167"/>
      <c r="AHY12" s="167"/>
      <c r="AHZ12" s="167"/>
      <c r="AIA12" s="167"/>
      <c r="AIB12" s="167"/>
      <c r="AIC12" s="167"/>
      <c r="AID12" s="167"/>
      <c r="AIE12" s="167"/>
      <c r="AIF12" s="167"/>
      <c r="AIG12" s="167"/>
      <c r="AIH12" s="167"/>
      <c r="AII12" s="167"/>
      <c r="AIJ12" s="167"/>
      <c r="AIK12" s="167"/>
      <c r="AIL12" s="167"/>
      <c r="AIM12" s="167"/>
      <c r="AIN12" s="167"/>
      <c r="AIO12" s="167"/>
      <c r="AIP12" s="167"/>
      <c r="AIQ12" s="167"/>
      <c r="AIR12" s="167"/>
      <c r="AIS12" s="167"/>
      <c r="AIT12" s="167"/>
      <c r="AIU12" s="167"/>
      <c r="AIV12" s="167"/>
      <c r="AIW12" s="167"/>
      <c r="AIX12" s="167"/>
      <c r="AIY12" s="167"/>
      <c r="AIZ12" s="167"/>
      <c r="AJA12" s="167"/>
      <c r="AJB12" s="167"/>
      <c r="AJC12" s="167"/>
      <c r="AJD12" s="167"/>
      <c r="AJE12" s="167"/>
      <c r="AJF12" s="167"/>
      <c r="AJG12" s="167"/>
      <c r="AJH12" s="167"/>
      <c r="AJI12" s="167"/>
      <c r="AJJ12" s="167"/>
      <c r="AJK12" s="167"/>
      <c r="AJL12" s="167"/>
      <c r="AJM12" s="167"/>
      <c r="AJN12" s="167"/>
      <c r="AJO12" s="167"/>
      <c r="AJP12" s="167"/>
      <c r="AJQ12" s="167"/>
      <c r="AJR12" s="167"/>
      <c r="AJS12" s="167"/>
      <c r="AJT12" s="167"/>
      <c r="AJU12" s="167"/>
      <c r="AJV12" s="167"/>
      <c r="AJW12" s="167"/>
      <c r="AJX12" s="167"/>
      <c r="AJY12" s="167"/>
      <c r="AJZ12" s="167"/>
      <c r="AKA12" s="167"/>
      <c r="AKB12" s="167"/>
      <c r="AKC12" s="167"/>
      <c r="AKD12" s="167"/>
      <c r="AKE12" s="167"/>
      <c r="AKF12" s="167"/>
      <c r="AKG12" s="167"/>
      <c r="AKH12" s="167"/>
      <c r="AKI12" s="167"/>
      <c r="AKJ12" s="167"/>
      <c r="AKK12" s="167"/>
      <c r="AKL12" s="167"/>
      <c r="AKM12" s="167"/>
      <c r="AKN12" s="167"/>
      <c r="AKO12" s="167"/>
      <c r="AKP12" s="167"/>
      <c r="AKQ12" s="167"/>
      <c r="AKR12" s="167"/>
      <c r="AKS12" s="167"/>
      <c r="AKT12" s="167"/>
      <c r="AKU12" s="167"/>
      <c r="AKV12" s="167"/>
      <c r="AKW12" s="167"/>
      <c r="AKX12" s="167"/>
      <c r="AKY12" s="167"/>
      <c r="AKZ12" s="167"/>
      <c r="ALA12" s="167"/>
      <c r="ALB12" s="167"/>
      <c r="ALC12" s="167"/>
      <c r="ALD12" s="167"/>
      <c r="ALE12" s="167"/>
      <c r="ALF12" s="167"/>
      <c r="ALG12" s="167"/>
      <c r="ALH12" s="167"/>
      <c r="ALI12" s="167"/>
      <c r="ALJ12" s="167"/>
      <c r="ALK12" s="167"/>
      <c r="ALL12" s="167"/>
      <c r="ALM12" s="167"/>
      <c r="ALN12" s="167"/>
      <c r="ALO12" s="167"/>
      <c r="ALP12" s="167"/>
      <c r="ALQ12" s="167"/>
      <c r="ALR12" s="167"/>
      <c r="ALS12" s="167"/>
      <c r="ALT12" s="167"/>
      <c r="ALU12" s="167"/>
      <c r="ALV12" s="167"/>
      <c r="ALW12" s="167"/>
      <c r="ALX12" s="167"/>
      <c r="ALY12" s="167"/>
      <c r="ALZ12" s="167"/>
      <c r="AMA12" s="167"/>
      <c r="AMB12" s="167"/>
      <c r="AMC12" s="167"/>
      <c r="AMD12" s="167"/>
      <c r="AME12" s="167"/>
      <c r="AMF12" s="167"/>
      <c r="AMG12" s="167"/>
      <c r="AMH12" s="167"/>
      <c r="AMI12" s="167"/>
      <c r="AMJ12" s="167"/>
      <c r="AMK12" s="167"/>
      <c r="AML12" s="167"/>
      <c r="AMM12" s="167"/>
      <c r="AMN12" s="167"/>
      <c r="AMO12" s="167"/>
      <c r="AMP12" s="167"/>
      <c r="AMQ12" s="167"/>
      <c r="AMR12" s="167"/>
      <c r="AMS12" s="167"/>
      <c r="AMT12" s="167"/>
      <c r="AMU12" s="167"/>
      <c r="AMV12" s="167"/>
      <c r="AMW12" s="167"/>
      <c r="AMX12" s="167"/>
      <c r="AMY12" s="167"/>
      <c r="AMZ12" s="167"/>
      <c r="ANA12" s="167"/>
      <c r="ANB12" s="167"/>
      <c r="ANC12" s="167"/>
      <c r="AND12" s="167"/>
      <c r="ANE12" s="167"/>
      <c r="ANF12" s="167"/>
      <c r="ANG12" s="167"/>
      <c r="ANH12" s="167"/>
      <c r="ANI12" s="167"/>
      <c r="ANJ12" s="167"/>
      <c r="ANK12" s="167"/>
      <c r="ANL12" s="167"/>
      <c r="ANM12" s="167"/>
      <c r="ANN12" s="167"/>
      <c r="ANO12" s="167"/>
      <c r="ANP12" s="167"/>
      <c r="ANQ12" s="167"/>
      <c r="ANR12" s="167"/>
      <c r="ANS12" s="167"/>
      <c r="ANT12" s="167"/>
      <c r="ANU12" s="167"/>
      <c r="ANV12" s="167"/>
      <c r="ANW12" s="167"/>
      <c r="ANX12" s="167"/>
      <c r="ANY12" s="167"/>
      <c r="ANZ12" s="167"/>
      <c r="AOA12" s="167"/>
      <c r="AOB12" s="167"/>
      <c r="AOC12" s="167"/>
      <c r="AOD12" s="167"/>
      <c r="AOE12" s="167"/>
      <c r="AOF12" s="167"/>
      <c r="AOG12" s="167"/>
      <c r="AOH12" s="167"/>
      <c r="AOI12" s="167"/>
      <c r="AOJ12" s="167"/>
      <c r="AOK12" s="167"/>
      <c r="AOL12" s="167"/>
      <c r="AOM12" s="167"/>
      <c r="AON12" s="167"/>
      <c r="AOO12" s="167"/>
      <c r="AOP12" s="167"/>
      <c r="AOQ12" s="167"/>
      <c r="AOR12" s="167"/>
      <c r="AOS12" s="167"/>
      <c r="AOT12" s="167"/>
      <c r="AOU12" s="167"/>
      <c r="AOV12" s="167"/>
      <c r="AOW12" s="167"/>
      <c r="AOX12" s="167"/>
      <c r="AOY12" s="167"/>
      <c r="AOZ12" s="167"/>
      <c r="APA12" s="167"/>
      <c r="APB12" s="167"/>
      <c r="APC12" s="167"/>
      <c r="APD12" s="167"/>
      <c r="APE12" s="167"/>
      <c r="APF12" s="167"/>
      <c r="APG12" s="167"/>
      <c r="APH12" s="167"/>
      <c r="API12" s="167"/>
      <c r="APJ12" s="167"/>
      <c r="APK12" s="167"/>
      <c r="APL12" s="167"/>
      <c r="APM12" s="167"/>
      <c r="APN12" s="167"/>
      <c r="APO12" s="167"/>
      <c r="APP12" s="167"/>
      <c r="APQ12" s="167"/>
      <c r="APR12" s="167"/>
      <c r="APS12" s="167"/>
      <c r="APT12" s="167"/>
      <c r="APU12" s="167"/>
      <c r="APV12" s="167"/>
      <c r="APW12" s="167"/>
      <c r="APX12" s="167"/>
      <c r="APY12" s="167"/>
      <c r="APZ12" s="167"/>
      <c r="AQA12" s="167"/>
      <c r="AQB12" s="167"/>
      <c r="AQC12" s="167"/>
      <c r="AQD12" s="167"/>
      <c r="AQE12" s="167"/>
      <c r="AQF12" s="167"/>
      <c r="AQG12" s="167"/>
      <c r="AQH12" s="167"/>
      <c r="AQI12" s="167"/>
      <c r="AQJ12" s="167"/>
      <c r="AQK12" s="167"/>
      <c r="AQL12" s="167"/>
      <c r="AQM12" s="167"/>
      <c r="AQN12" s="167"/>
      <c r="AQO12" s="167"/>
      <c r="AQP12" s="167"/>
      <c r="AQQ12" s="167"/>
      <c r="AQR12" s="167"/>
      <c r="AQS12" s="167"/>
      <c r="AQT12" s="167"/>
      <c r="AQU12" s="167"/>
      <c r="AQV12" s="167"/>
      <c r="AQW12" s="167"/>
      <c r="AQX12" s="167"/>
      <c r="AQY12" s="167"/>
      <c r="AQZ12" s="167"/>
      <c r="ARA12" s="167"/>
      <c r="ARB12" s="167"/>
      <c r="ARC12" s="167"/>
      <c r="ARD12" s="167"/>
      <c r="ARE12" s="167"/>
      <c r="ARF12" s="167"/>
      <c r="ARG12" s="167"/>
      <c r="ARH12" s="167"/>
      <c r="ARI12" s="167"/>
      <c r="ARJ12" s="167"/>
      <c r="ARK12" s="167"/>
      <c r="ARL12" s="167"/>
      <c r="ARM12" s="167"/>
      <c r="ARN12" s="167"/>
      <c r="ARO12" s="167"/>
      <c r="ARP12" s="167"/>
      <c r="ARQ12" s="167"/>
      <c r="ARR12" s="167"/>
      <c r="ARS12" s="167"/>
      <c r="ART12" s="167"/>
      <c r="ARU12" s="167"/>
      <c r="ARV12" s="167"/>
      <c r="ARW12" s="167"/>
      <c r="ARX12" s="167"/>
      <c r="ARY12" s="167"/>
      <c r="ARZ12" s="167"/>
      <c r="ASA12" s="167"/>
      <c r="ASB12" s="167"/>
      <c r="ASC12" s="167"/>
      <c r="ASD12" s="167"/>
      <c r="ASE12" s="167"/>
      <c r="ASF12" s="167"/>
      <c r="ASG12" s="167"/>
      <c r="ASH12" s="167"/>
      <c r="ASI12" s="167"/>
      <c r="ASJ12" s="167"/>
      <c r="ASK12" s="167"/>
      <c r="ASL12" s="167"/>
      <c r="ASM12" s="167"/>
      <c r="ASN12" s="167"/>
      <c r="ASO12" s="167"/>
      <c r="ASP12" s="167"/>
      <c r="ASQ12" s="167"/>
      <c r="ASR12" s="167"/>
      <c r="ASS12" s="167"/>
      <c r="AST12" s="167"/>
      <c r="ASU12" s="167"/>
      <c r="ASV12" s="167"/>
      <c r="ASW12" s="167"/>
      <c r="ASX12" s="167"/>
      <c r="ASY12" s="167"/>
      <c r="ASZ12" s="167"/>
      <c r="ATA12" s="167"/>
      <c r="ATB12" s="167"/>
      <c r="ATC12" s="167"/>
      <c r="ATD12" s="167"/>
      <c r="ATE12" s="167"/>
      <c r="ATF12" s="167"/>
      <c r="ATG12" s="167"/>
      <c r="ATH12" s="167"/>
      <c r="ATI12" s="167"/>
      <c r="ATJ12" s="167"/>
      <c r="ATK12" s="167"/>
      <c r="ATL12" s="167"/>
      <c r="ATM12" s="167"/>
      <c r="ATN12" s="167"/>
      <c r="ATO12" s="167"/>
      <c r="ATP12" s="167"/>
      <c r="ATQ12" s="167"/>
      <c r="ATR12" s="167"/>
      <c r="ATS12" s="167"/>
      <c r="ATT12" s="167"/>
      <c r="ATU12" s="167"/>
      <c r="ATV12" s="167"/>
      <c r="ATW12" s="167"/>
      <c r="ATX12" s="167"/>
      <c r="ATY12" s="167"/>
      <c r="ATZ12" s="167"/>
      <c r="AUA12" s="167"/>
      <c r="AUB12" s="167"/>
      <c r="AUC12" s="167"/>
      <c r="AUD12" s="167"/>
      <c r="AUE12" s="167"/>
      <c r="AUF12" s="167"/>
      <c r="AUG12" s="167"/>
      <c r="AUH12" s="167"/>
      <c r="AUI12" s="167"/>
      <c r="AUJ12" s="167"/>
      <c r="AUK12" s="167"/>
      <c r="AUL12" s="167"/>
      <c r="AUM12" s="167"/>
      <c r="AUN12" s="167"/>
      <c r="AUO12" s="167"/>
      <c r="AUP12" s="167"/>
      <c r="AUQ12" s="167"/>
      <c r="AUR12" s="167"/>
      <c r="AUS12" s="167"/>
      <c r="AUT12" s="167"/>
      <c r="AUU12" s="167"/>
      <c r="AUV12" s="167"/>
      <c r="AUW12" s="167"/>
      <c r="AUX12" s="167"/>
      <c r="AUY12" s="167"/>
      <c r="AUZ12" s="167"/>
      <c r="AVA12" s="167"/>
      <c r="AVB12" s="167"/>
      <c r="AVC12" s="167"/>
      <c r="AVD12" s="167"/>
      <c r="AVE12" s="167"/>
      <c r="AVF12" s="167"/>
      <c r="AVG12" s="167"/>
      <c r="AVH12" s="167"/>
      <c r="AVI12" s="167"/>
      <c r="AVJ12" s="167"/>
      <c r="AVK12" s="167"/>
      <c r="AVL12" s="167"/>
      <c r="AVM12" s="167"/>
      <c r="AVN12" s="167"/>
      <c r="AVO12" s="167"/>
      <c r="AVP12" s="167"/>
      <c r="AVQ12" s="167"/>
      <c r="AVR12" s="167"/>
      <c r="AVS12" s="167"/>
      <c r="AVT12" s="167"/>
      <c r="AVU12" s="167"/>
      <c r="AVV12" s="167"/>
      <c r="AVW12" s="167"/>
      <c r="AVX12" s="167"/>
      <c r="AVY12" s="167"/>
      <c r="AVZ12" s="167"/>
      <c r="AWA12" s="167"/>
      <c r="AWB12" s="167"/>
      <c r="AWC12" s="167"/>
      <c r="AWD12" s="167"/>
      <c r="AWE12" s="167"/>
      <c r="AWF12" s="167"/>
      <c r="AWG12" s="167"/>
      <c r="AWH12" s="167"/>
      <c r="AWI12" s="167"/>
      <c r="AWJ12" s="167"/>
      <c r="AWK12" s="167"/>
      <c r="AWL12" s="167"/>
      <c r="AWM12" s="167"/>
      <c r="AWN12" s="167"/>
      <c r="AWO12" s="167"/>
      <c r="AWP12" s="167"/>
      <c r="AWQ12" s="167"/>
      <c r="AWR12" s="167"/>
      <c r="AWS12" s="167"/>
      <c r="AWT12" s="167"/>
      <c r="AWU12" s="167"/>
      <c r="AWV12" s="167"/>
      <c r="AWW12" s="167"/>
      <c r="AWX12" s="167"/>
      <c r="AWY12" s="167"/>
      <c r="AWZ12" s="167"/>
      <c r="AXA12" s="167"/>
      <c r="AXB12" s="167"/>
      <c r="AXC12" s="167"/>
      <c r="AXD12" s="167"/>
      <c r="AXE12" s="167"/>
      <c r="AXF12" s="167"/>
      <c r="AXG12" s="167"/>
      <c r="AXH12" s="167"/>
      <c r="AXI12" s="167"/>
      <c r="AXJ12" s="167"/>
      <c r="AXK12" s="167"/>
      <c r="AXL12" s="167"/>
      <c r="AXM12" s="167"/>
      <c r="AXN12" s="167"/>
      <c r="AXO12" s="167"/>
      <c r="AXP12" s="167"/>
      <c r="AXQ12" s="167"/>
      <c r="AXR12" s="167"/>
      <c r="AXS12" s="167"/>
      <c r="AXT12" s="167"/>
      <c r="AXU12" s="167"/>
      <c r="AXV12" s="167"/>
      <c r="AXW12" s="167"/>
      <c r="AXX12" s="167"/>
      <c r="AXY12" s="167"/>
      <c r="AXZ12" s="167"/>
      <c r="AYA12" s="167"/>
      <c r="AYB12" s="167"/>
      <c r="AYC12" s="167"/>
      <c r="AYD12" s="167"/>
      <c r="AYE12" s="167"/>
      <c r="AYF12" s="167"/>
      <c r="AYG12" s="167"/>
      <c r="AYH12" s="167"/>
      <c r="AYI12" s="167"/>
      <c r="AYJ12" s="167"/>
      <c r="AYK12" s="167"/>
      <c r="AYL12" s="167"/>
      <c r="AYM12" s="167"/>
      <c r="AYN12" s="167"/>
      <c r="AYO12" s="167"/>
      <c r="AYP12" s="167"/>
      <c r="AYQ12" s="167"/>
      <c r="AYR12" s="167"/>
      <c r="AYS12" s="167"/>
      <c r="AYT12" s="167"/>
      <c r="AYU12" s="167"/>
      <c r="AYV12" s="167"/>
      <c r="AYW12" s="167"/>
      <c r="AYX12" s="167"/>
      <c r="AYY12" s="167"/>
      <c r="AYZ12" s="167"/>
      <c r="AZA12" s="167"/>
      <c r="AZB12" s="167"/>
      <c r="AZC12" s="167"/>
      <c r="AZD12" s="167"/>
      <c r="AZE12" s="167"/>
      <c r="AZF12" s="167"/>
      <c r="AZG12" s="167"/>
      <c r="AZH12" s="167"/>
      <c r="AZI12" s="167"/>
      <c r="AZJ12" s="167"/>
      <c r="AZK12" s="167"/>
      <c r="AZL12" s="167"/>
      <c r="AZM12" s="167"/>
      <c r="AZN12" s="167"/>
      <c r="AZO12" s="167"/>
      <c r="AZP12" s="167"/>
      <c r="AZQ12" s="167"/>
      <c r="AZR12" s="167"/>
      <c r="AZS12" s="167"/>
      <c r="AZT12" s="167"/>
      <c r="AZU12" s="167"/>
      <c r="AZV12" s="167"/>
      <c r="AZW12" s="167"/>
      <c r="AZX12" s="167"/>
      <c r="AZY12" s="167"/>
      <c r="AZZ12" s="167"/>
      <c r="BAA12" s="167"/>
      <c r="BAB12" s="167"/>
      <c r="BAC12" s="167"/>
      <c r="BAD12" s="167"/>
      <c r="BAE12" s="167"/>
      <c r="BAF12" s="167"/>
      <c r="BAG12" s="167"/>
      <c r="BAH12" s="167"/>
      <c r="BAI12" s="167"/>
      <c r="BAJ12" s="167"/>
      <c r="BAK12" s="167"/>
      <c r="BAL12" s="167"/>
      <c r="BAM12" s="167"/>
      <c r="BAN12" s="167"/>
      <c r="BAO12" s="167"/>
      <c r="BAP12" s="167"/>
      <c r="BAQ12" s="167"/>
      <c r="BAR12" s="167"/>
      <c r="BAS12" s="167"/>
      <c r="BAT12" s="167"/>
      <c r="BAU12" s="167"/>
      <c r="BAV12" s="167"/>
      <c r="BAW12" s="167"/>
      <c r="BAX12" s="167"/>
      <c r="BAY12" s="167"/>
      <c r="BAZ12" s="167"/>
      <c r="BBA12" s="167"/>
      <c r="BBB12" s="167"/>
      <c r="BBC12" s="167"/>
      <c r="BBD12" s="167"/>
      <c r="BBE12" s="167"/>
      <c r="BBF12" s="167"/>
      <c r="BBG12" s="167"/>
      <c r="BBH12" s="167"/>
      <c r="BBI12" s="167"/>
      <c r="BBJ12" s="167"/>
      <c r="BBK12" s="167"/>
      <c r="BBL12" s="167"/>
      <c r="BBM12" s="167"/>
      <c r="BBN12" s="167"/>
      <c r="BBO12" s="167"/>
      <c r="BBP12" s="167"/>
      <c r="BBQ12" s="167"/>
      <c r="BBR12" s="167"/>
      <c r="BBS12" s="167"/>
      <c r="BBT12" s="167"/>
      <c r="BBU12" s="167"/>
      <c r="BBV12" s="167"/>
      <c r="BBW12" s="167"/>
      <c r="BBX12" s="167"/>
      <c r="BBY12" s="167"/>
      <c r="BBZ12" s="167"/>
      <c r="BCA12" s="167"/>
      <c r="BCB12" s="167"/>
      <c r="BCC12" s="167"/>
      <c r="BCD12" s="167"/>
      <c r="BCE12" s="167"/>
      <c r="BCF12" s="167"/>
      <c r="BCG12" s="167"/>
      <c r="BCH12" s="167"/>
      <c r="BCI12" s="167"/>
      <c r="BCJ12" s="167"/>
      <c r="BCK12" s="167"/>
      <c r="BCL12" s="167"/>
      <c r="BCM12" s="167"/>
      <c r="BCN12" s="167"/>
      <c r="BCO12" s="167"/>
      <c r="BCP12" s="167"/>
      <c r="BCQ12" s="167"/>
      <c r="BCR12" s="167"/>
      <c r="BCS12" s="167"/>
      <c r="BCT12" s="167"/>
      <c r="BCU12" s="167"/>
      <c r="BCV12" s="167"/>
      <c r="BCW12" s="167"/>
      <c r="BCX12" s="167"/>
      <c r="BCY12" s="167"/>
      <c r="BCZ12" s="167"/>
      <c r="BDA12" s="167"/>
      <c r="BDB12" s="167"/>
      <c r="BDC12" s="167"/>
      <c r="BDD12" s="167"/>
      <c r="BDE12" s="167"/>
      <c r="BDF12" s="167"/>
      <c r="BDG12" s="167"/>
      <c r="BDH12" s="167"/>
      <c r="BDI12" s="167"/>
      <c r="BDJ12" s="167"/>
      <c r="BDK12" s="167"/>
      <c r="BDL12" s="167"/>
      <c r="BDM12" s="167"/>
      <c r="BDN12" s="167"/>
      <c r="BDO12" s="167"/>
      <c r="BDP12" s="167"/>
      <c r="BDQ12" s="167"/>
      <c r="BDR12" s="167"/>
      <c r="BDS12" s="167"/>
      <c r="BDT12" s="167"/>
      <c r="BDU12" s="167"/>
      <c r="BDV12" s="167"/>
      <c r="BDW12" s="167"/>
      <c r="BDX12" s="167"/>
      <c r="BDY12" s="167"/>
      <c r="BDZ12" s="167"/>
      <c r="BEA12" s="167"/>
      <c r="BEB12" s="167"/>
      <c r="BEC12" s="167"/>
      <c r="BED12" s="167"/>
      <c r="BEE12" s="167"/>
      <c r="BEF12" s="167"/>
      <c r="BEG12" s="167"/>
      <c r="BEH12" s="167"/>
      <c r="BEI12" s="167"/>
      <c r="BEJ12" s="167"/>
      <c r="BEK12" s="167"/>
      <c r="BEL12" s="167"/>
      <c r="BEM12" s="167"/>
      <c r="BEN12" s="167"/>
      <c r="BEO12" s="167"/>
      <c r="BEP12" s="167"/>
      <c r="BEQ12" s="167"/>
      <c r="BER12" s="167"/>
      <c r="BES12" s="167"/>
      <c r="BET12" s="167"/>
      <c r="BEU12" s="167"/>
      <c r="BEV12" s="167"/>
      <c r="BEW12" s="167"/>
      <c r="BEX12" s="167"/>
      <c r="BEY12" s="167"/>
      <c r="BEZ12" s="167"/>
      <c r="BFA12" s="167"/>
      <c r="BFB12" s="167"/>
      <c r="BFC12" s="167"/>
      <c r="BFD12" s="167"/>
      <c r="BFE12" s="167"/>
      <c r="BFF12" s="167"/>
      <c r="BFG12" s="167"/>
      <c r="BFH12" s="167"/>
      <c r="BFI12" s="167"/>
      <c r="BFJ12" s="167"/>
      <c r="BFK12" s="167"/>
      <c r="BFL12" s="167"/>
      <c r="BFM12" s="167"/>
      <c r="BFN12" s="167"/>
      <c r="BFO12" s="167"/>
      <c r="BFP12" s="167"/>
      <c r="BFQ12" s="167"/>
      <c r="BFR12" s="167"/>
      <c r="BFS12" s="167"/>
      <c r="BFT12" s="167"/>
      <c r="BFU12" s="167"/>
      <c r="BFV12" s="167"/>
      <c r="BFW12" s="167"/>
      <c r="BFX12" s="167"/>
      <c r="BFY12" s="167"/>
      <c r="BFZ12" s="167"/>
      <c r="BGA12" s="167"/>
      <c r="BGB12" s="167"/>
      <c r="BGC12" s="167"/>
      <c r="BGD12" s="167"/>
      <c r="BGE12" s="167"/>
      <c r="BGF12" s="167"/>
      <c r="BGG12" s="167"/>
      <c r="BGH12" s="167"/>
      <c r="BGI12" s="167"/>
      <c r="BGJ12" s="167"/>
      <c r="BGK12" s="167"/>
      <c r="BGL12" s="167"/>
      <c r="BGM12" s="167"/>
      <c r="BGN12" s="167"/>
      <c r="BGO12" s="167"/>
      <c r="BGP12" s="167"/>
      <c r="BGQ12" s="167"/>
      <c r="BGR12" s="167"/>
      <c r="BGS12" s="167"/>
      <c r="BGT12" s="167"/>
      <c r="BGU12" s="167"/>
      <c r="BGV12" s="167"/>
      <c r="BGW12" s="167"/>
      <c r="BGX12" s="167"/>
      <c r="BGY12" s="167"/>
      <c r="BGZ12" s="167"/>
      <c r="BHA12" s="167"/>
      <c r="BHB12" s="167"/>
      <c r="BHC12" s="167"/>
      <c r="BHD12" s="167"/>
      <c r="BHE12" s="167"/>
      <c r="BHF12" s="167"/>
      <c r="BHG12" s="167"/>
      <c r="BHH12" s="167"/>
      <c r="BHI12" s="167"/>
      <c r="BHJ12" s="167"/>
      <c r="BHK12" s="167"/>
      <c r="BHL12" s="167"/>
      <c r="BHM12" s="167"/>
      <c r="BHN12" s="167"/>
      <c r="BHO12" s="167"/>
      <c r="BHP12" s="167"/>
      <c r="BHQ12" s="167"/>
      <c r="BHR12" s="167"/>
      <c r="BHS12" s="167"/>
      <c r="BHT12" s="167"/>
      <c r="BHU12" s="167"/>
      <c r="BHV12" s="167"/>
      <c r="BHW12" s="167"/>
      <c r="BHX12" s="167"/>
      <c r="BHY12" s="167"/>
      <c r="BHZ12" s="167"/>
      <c r="BIA12" s="167"/>
      <c r="BIB12" s="167"/>
      <c r="BIC12" s="167"/>
      <c r="BID12" s="167"/>
      <c r="BIE12" s="167"/>
      <c r="BIF12" s="167"/>
      <c r="BIG12" s="167"/>
      <c r="BIH12" s="167"/>
      <c r="BII12" s="167"/>
      <c r="BIJ12" s="167"/>
      <c r="BIK12" s="167"/>
      <c r="BIL12" s="167"/>
      <c r="BIM12" s="167"/>
      <c r="BIN12" s="167"/>
      <c r="BIO12" s="167"/>
      <c r="BIP12" s="167"/>
      <c r="BIQ12" s="167"/>
      <c r="BIR12" s="167"/>
      <c r="BIS12" s="167"/>
      <c r="BIT12" s="167"/>
      <c r="BIU12" s="167"/>
      <c r="BIV12" s="167"/>
      <c r="BIW12" s="167"/>
      <c r="BIX12" s="167"/>
      <c r="BIY12" s="167"/>
      <c r="BIZ12" s="167"/>
      <c r="BJA12" s="167"/>
      <c r="BJB12" s="167"/>
      <c r="BJC12" s="167"/>
      <c r="BJD12" s="167"/>
      <c r="BJE12" s="167"/>
      <c r="BJF12" s="167"/>
      <c r="BJG12" s="167"/>
      <c r="BJH12" s="167"/>
      <c r="BJI12" s="167"/>
      <c r="BJJ12" s="167"/>
      <c r="BJK12" s="167"/>
      <c r="BJL12" s="167"/>
      <c r="BJM12" s="167"/>
      <c r="BJN12" s="167"/>
      <c r="BJO12" s="167"/>
      <c r="BJP12" s="167"/>
      <c r="BJQ12" s="167"/>
      <c r="BJR12" s="167"/>
      <c r="BJS12" s="167"/>
      <c r="BJT12" s="167"/>
      <c r="BJU12" s="167"/>
      <c r="BJV12" s="167"/>
      <c r="BJW12" s="167"/>
      <c r="BJX12" s="167"/>
      <c r="BJY12" s="167"/>
      <c r="BJZ12" s="167"/>
      <c r="BKA12" s="167"/>
      <c r="BKB12" s="167"/>
      <c r="BKC12" s="167"/>
      <c r="BKD12" s="167"/>
      <c r="BKE12" s="167"/>
      <c r="BKF12" s="167"/>
      <c r="BKG12" s="167"/>
      <c r="BKH12" s="167"/>
      <c r="BKI12" s="167"/>
      <c r="BKJ12" s="167"/>
      <c r="BKK12" s="167"/>
      <c r="BKL12" s="167"/>
      <c r="BKM12" s="167"/>
      <c r="BKN12" s="167"/>
      <c r="BKO12" s="167"/>
      <c r="BKP12" s="167"/>
      <c r="BKQ12" s="167"/>
      <c r="BKR12" s="167"/>
      <c r="BKS12" s="167"/>
      <c r="BKT12" s="167"/>
      <c r="BKU12" s="167"/>
      <c r="BKV12" s="167"/>
      <c r="BKW12" s="167"/>
      <c r="BKX12" s="167"/>
      <c r="BKY12" s="167"/>
      <c r="BKZ12" s="167"/>
      <c r="BLA12" s="167"/>
      <c r="BLB12" s="167"/>
      <c r="BLC12" s="167"/>
      <c r="BLD12" s="167"/>
      <c r="BLE12" s="167"/>
      <c r="BLF12" s="167"/>
      <c r="BLG12" s="167"/>
      <c r="BLH12" s="167"/>
      <c r="BLI12" s="167"/>
      <c r="BLJ12" s="167"/>
      <c r="BLK12" s="167"/>
      <c r="BLL12" s="167"/>
      <c r="BLM12" s="167"/>
      <c r="BLN12" s="167"/>
      <c r="BLO12" s="167"/>
      <c r="BLP12" s="167"/>
      <c r="BLQ12" s="167"/>
      <c r="BLR12" s="167"/>
      <c r="BLS12" s="167"/>
      <c r="BLT12" s="167"/>
      <c r="BLU12" s="167"/>
      <c r="BLV12" s="167"/>
      <c r="BLW12" s="167"/>
      <c r="BLX12" s="167"/>
      <c r="BLY12" s="167"/>
      <c r="BLZ12" s="167"/>
      <c r="BMA12" s="167"/>
      <c r="BMB12" s="167"/>
      <c r="BMC12" s="167"/>
      <c r="BMD12" s="167"/>
      <c r="BME12" s="167"/>
      <c r="BMF12" s="167"/>
      <c r="BMG12" s="167"/>
      <c r="BMH12" s="167"/>
      <c r="BMI12" s="167"/>
      <c r="BMJ12" s="167"/>
      <c r="BMK12" s="167"/>
      <c r="BML12" s="167"/>
      <c r="BMM12" s="167"/>
      <c r="BMN12" s="167"/>
      <c r="BMO12" s="167"/>
      <c r="BMP12" s="167"/>
      <c r="BMQ12" s="167"/>
      <c r="BMR12" s="167"/>
      <c r="BMS12" s="167"/>
      <c r="BMT12" s="167"/>
      <c r="BMU12" s="167"/>
      <c r="BMV12" s="167"/>
      <c r="BMW12" s="167"/>
      <c r="BMX12" s="167"/>
      <c r="BMY12" s="167"/>
      <c r="BMZ12" s="167"/>
      <c r="BNA12" s="167"/>
      <c r="BNB12" s="167"/>
      <c r="BNC12" s="167"/>
      <c r="BND12" s="167"/>
      <c r="BNE12" s="167"/>
      <c r="BNF12" s="167"/>
      <c r="BNG12" s="167"/>
      <c r="BNH12" s="167"/>
      <c r="BNI12" s="167"/>
      <c r="BNJ12" s="167"/>
      <c r="BNK12" s="167"/>
      <c r="BNL12" s="167"/>
      <c r="BNM12" s="167"/>
      <c r="BNN12" s="167"/>
      <c r="BNO12" s="167"/>
      <c r="BNP12" s="167"/>
      <c r="BNQ12" s="167"/>
      <c r="BNR12" s="167"/>
      <c r="BNS12" s="167"/>
      <c r="BNT12" s="167"/>
      <c r="BNU12" s="167"/>
      <c r="BNV12" s="167"/>
      <c r="BNW12" s="167"/>
      <c r="BNX12" s="167"/>
      <c r="BNY12" s="167"/>
      <c r="BNZ12" s="167"/>
      <c r="BOA12" s="167"/>
      <c r="BOB12" s="167"/>
      <c r="BOC12" s="167"/>
      <c r="BOD12" s="167"/>
      <c r="BOE12" s="167"/>
      <c r="BOF12" s="167"/>
      <c r="BOG12" s="167"/>
      <c r="BOH12" s="167"/>
      <c r="BOI12" s="167"/>
      <c r="BOJ12" s="167"/>
      <c r="BOK12" s="167"/>
      <c r="BOL12" s="167"/>
      <c r="BOM12" s="167"/>
      <c r="BON12" s="167"/>
      <c r="BOO12" s="167"/>
      <c r="BOP12" s="167"/>
      <c r="BOQ12" s="167"/>
      <c r="BOR12" s="167"/>
      <c r="BOS12" s="167"/>
      <c r="BOT12" s="167"/>
      <c r="BOU12" s="167"/>
      <c r="BOV12" s="167"/>
      <c r="BOW12" s="167"/>
      <c r="BOX12" s="167"/>
      <c r="BOY12" s="167"/>
      <c r="BOZ12" s="167"/>
      <c r="BPA12" s="167"/>
      <c r="BPB12" s="167"/>
      <c r="BPC12" s="167"/>
      <c r="BPD12" s="167"/>
      <c r="BPE12" s="167"/>
      <c r="BPF12" s="167"/>
      <c r="BPG12" s="167"/>
      <c r="BPH12" s="167"/>
      <c r="BPI12" s="167"/>
      <c r="BPJ12" s="167"/>
      <c r="BPK12" s="167"/>
      <c r="BPL12" s="167"/>
      <c r="BPM12" s="167"/>
      <c r="BPN12" s="167"/>
      <c r="BPO12" s="167"/>
      <c r="BPP12" s="167"/>
      <c r="BPQ12" s="167"/>
      <c r="BPR12" s="167"/>
      <c r="BPS12" s="167"/>
      <c r="BPT12" s="167"/>
      <c r="BPU12" s="167"/>
      <c r="BPV12" s="167"/>
      <c r="BPW12" s="167"/>
      <c r="BPX12" s="167"/>
      <c r="BPY12" s="167"/>
      <c r="BPZ12" s="167"/>
      <c r="BQA12" s="167"/>
      <c r="BQB12" s="167"/>
      <c r="BQC12" s="167"/>
      <c r="BQD12" s="167"/>
      <c r="BQE12" s="167"/>
      <c r="BQF12" s="167"/>
      <c r="BQG12" s="167"/>
      <c r="BQH12" s="167"/>
      <c r="BQI12" s="167"/>
      <c r="BQJ12" s="167"/>
      <c r="BQK12" s="167"/>
      <c r="BQL12" s="167"/>
      <c r="BQM12" s="167"/>
      <c r="BQN12" s="167"/>
      <c r="BQO12" s="167"/>
      <c r="BQP12" s="167"/>
      <c r="BQQ12" s="167"/>
      <c r="BQR12" s="167"/>
      <c r="BQS12" s="167"/>
      <c r="BQT12" s="167"/>
      <c r="BQU12" s="167"/>
      <c r="BQV12" s="167"/>
      <c r="BQW12" s="167"/>
      <c r="BQX12" s="167"/>
      <c r="BQY12" s="167"/>
      <c r="BQZ12" s="167"/>
      <c r="BRA12" s="167"/>
      <c r="BRB12" s="167"/>
      <c r="BRC12" s="167"/>
      <c r="BRD12" s="167"/>
      <c r="BRE12" s="167"/>
      <c r="BRF12" s="167"/>
      <c r="BRG12" s="167"/>
      <c r="BRH12" s="167"/>
      <c r="BRI12" s="167"/>
      <c r="BRJ12" s="167"/>
      <c r="BRK12" s="167"/>
      <c r="BRL12" s="167"/>
      <c r="BRM12" s="167"/>
      <c r="BRN12" s="167"/>
      <c r="BRO12" s="167"/>
      <c r="BRP12" s="167"/>
      <c r="BRQ12" s="167"/>
      <c r="BRR12" s="167"/>
      <c r="BRS12" s="167"/>
      <c r="BRT12" s="167"/>
      <c r="BRU12" s="167"/>
      <c r="BRV12" s="167"/>
      <c r="BRW12" s="167"/>
      <c r="BRX12" s="167"/>
      <c r="BRY12" s="167"/>
      <c r="BRZ12" s="167"/>
      <c r="BSA12" s="167"/>
      <c r="BSB12" s="167"/>
      <c r="BSC12" s="167"/>
    </row>
    <row r="13" spans="1:1849" s="502" customFormat="1" ht="15" x14ac:dyDescent="0.2">
      <c r="A13" s="503">
        <v>12</v>
      </c>
      <c r="B13" s="504" t="s">
        <v>25</v>
      </c>
      <c r="C13" s="548" t="s">
        <v>898</v>
      </c>
      <c r="D13" s="504" t="s">
        <v>26</v>
      </c>
      <c r="E13" s="504" t="s">
        <v>27</v>
      </c>
      <c r="F13" s="505">
        <v>60</v>
      </c>
      <c r="G13" s="505">
        <v>20</v>
      </c>
      <c r="H13" s="505">
        <v>61</v>
      </c>
      <c r="I13" s="505">
        <v>25</v>
      </c>
      <c r="J13" s="504">
        <v>1</v>
      </c>
      <c r="K13" s="504">
        <f t="shared" si="0"/>
        <v>1200</v>
      </c>
      <c r="L13" s="505" t="s">
        <v>28</v>
      </c>
      <c r="M13" s="511" t="s">
        <v>259</v>
      </c>
      <c r="N13" s="510" t="s">
        <v>549</v>
      </c>
      <c r="O13" s="504">
        <v>79.060370000000006</v>
      </c>
      <c r="P13" s="506">
        <v>100000</v>
      </c>
      <c r="Q13" s="505">
        <v>125000</v>
      </c>
      <c r="R13" s="505">
        <v>195000</v>
      </c>
      <c r="S13" s="501"/>
      <c r="T13" s="501"/>
      <c r="U13" s="501"/>
      <c r="V13" s="501"/>
      <c r="W13" s="501"/>
      <c r="X13" s="501"/>
      <c r="Y13" s="501"/>
      <c r="Z13" s="501"/>
      <c r="AA13" s="501"/>
      <c r="AB13" s="501"/>
      <c r="AC13" s="501"/>
      <c r="AD13" s="501"/>
      <c r="AE13" s="501"/>
      <c r="AF13" s="501"/>
      <c r="AG13" s="501"/>
      <c r="AH13" s="501"/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  <c r="AY13" s="501"/>
      <c r="AZ13" s="501"/>
      <c r="BA13" s="501"/>
      <c r="BB13" s="501"/>
      <c r="BC13" s="501"/>
      <c r="BD13" s="501"/>
      <c r="BE13" s="501"/>
      <c r="BF13" s="501"/>
      <c r="BG13" s="501"/>
      <c r="BH13" s="501"/>
      <c r="BI13" s="501"/>
      <c r="BJ13" s="501"/>
      <c r="BK13" s="501"/>
      <c r="BL13" s="501"/>
      <c r="BM13" s="501"/>
      <c r="BN13" s="501"/>
      <c r="BO13" s="501"/>
      <c r="BP13" s="501"/>
      <c r="BQ13" s="501"/>
      <c r="BR13" s="501"/>
      <c r="BS13" s="501"/>
      <c r="BT13" s="501"/>
      <c r="BU13" s="501"/>
      <c r="BV13" s="501"/>
      <c r="BW13" s="501"/>
      <c r="BX13" s="501"/>
      <c r="BY13" s="501"/>
      <c r="BZ13" s="501"/>
      <c r="CA13" s="501"/>
      <c r="CB13" s="501"/>
      <c r="CC13" s="501"/>
      <c r="CD13" s="501"/>
      <c r="CE13" s="501"/>
      <c r="CF13" s="501"/>
      <c r="CG13" s="501"/>
      <c r="CH13" s="501"/>
      <c r="CI13" s="501"/>
      <c r="CJ13" s="501"/>
      <c r="CK13" s="501"/>
      <c r="CL13" s="501"/>
      <c r="CM13" s="501"/>
      <c r="CN13" s="501"/>
      <c r="CO13" s="501"/>
      <c r="CP13" s="501"/>
      <c r="CQ13" s="501"/>
      <c r="CR13" s="501"/>
      <c r="CS13" s="501"/>
      <c r="CT13" s="501"/>
      <c r="CU13" s="501"/>
      <c r="CV13" s="501"/>
      <c r="CW13" s="501"/>
      <c r="CX13" s="501"/>
      <c r="CY13" s="501"/>
      <c r="CZ13" s="501"/>
      <c r="DA13" s="501"/>
      <c r="DB13" s="501"/>
      <c r="DC13" s="501"/>
      <c r="DD13" s="501"/>
      <c r="DE13" s="501"/>
      <c r="DF13" s="501"/>
      <c r="DG13" s="501"/>
      <c r="DH13" s="501"/>
      <c r="DI13" s="501"/>
      <c r="DJ13" s="501"/>
      <c r="DK13" s="501"/>
      <c r="DL13" s="501"/>
      <c r="DM13" s="501"/>
      <c r="DN13" s="501"/>
      <c r="DO13" s="501"/>
      <c r="DP13" s="501"/>
      <c r="DQ13" s="501"/>
      <c r="DR13" s="501"/>
      <c r="DS13" s="501"/>
      <c r="DT13" s="501"/>
      <c r="DU13" s="501"/>
      <c r="DV13" s="501"/>
      <c r="DW13" s="501"/>
      <c r="DX13" s="501"/>
      <c r="DY13" s="501"/>
      <c r="DZ13" s="501"/>
      <c r="EA13" s="501"/>
      <c r="EB13" s="501"/>
      <c r="EC13" s="501"/>
      <c r="ED13" s="501"/>
      <c r="EE13" s="501"/>
      <c r="EF13" s="501"/>
      <c r="EG13" s="501"/>
      <c r="EH13" s="501"/>
      <c r="EI13" s="501"/>
      <c r="EJ13" s="501"/>
      <c r="EK13" s="501"/>
      <c r="EL13" s="501"/>
      <c r="EM13" s="501"/>
      <c r="EN13" s="501"/>
      <c r="EO13" s="501"/>
      <c r="EP13" s="501"/>
      <c r="EQ13" s="501"/>
      <c r="ER13" s="501"/>
      <c r="ES13" s="501"/>
      <c r="ET13" s="501"/>
      <c r="EU13" s="501"/>
      <c r="EV13" s="501"/>
      <c r="EW13" s="501"/>
      <c r="EX13" s="501"/>
      <c r="EY13" s="501"/>
      <c r="EZ13" s="501"/>
      <c r="FA13" s="501"/>
      <c r="FB13" s="501"/>
      <c r="FC13" s="501"/>
      <c r="FD13" s="501"/>
      <c r="FE13" s="501"/>
      <c r="FF13" s="501"/>
      <c r="FG13" s="501"/>
      <c r="FH13" s="501"/>
      <c r="FI13" s="501"/>
      <c r="FJ13" s="501"/>
      <c r="FK13" s="501"/>
      <c r="FL13" s="501"/>
      <c r="FM13" s="501"/>
      <c r="FN13" s="501"/>
      <c r="FO13" s="501"/>
      <c r="FP13" s="501"/>
      <c r="FQ13" s="501"/>
      <c r="FR13" s="501"/>
      <c r="FS13" s="501"/>
      <c r="FT13" s="501"/>
      <c r="FU13" s="501"/>
      <c r="FV13" s="501"/>
      <c r="FW13" s="501"/>
      <c r="FX13" s="501"/>
      <c r="FY13" s="501"/>
      <c r="FZ13" s="501"/>
      <c r="GA13" s="501"/>
      <c r="GB13" s="501"/>
      <c r="GC13" s="501"/>
      <c r="GD13" s="501"/>
      <c r="GE13" s="501"/>
      <c r="GF13" s="501"/>
      <c r="GG13" s="501"/>
      <c r="GH13" s="501"/>
      <c r="GI13" s="501"/>
      <c r="GJ13" s="501"/>
      <c r="GK13" s="501"/>
      <c r="GL13" s="501"/>
      <c r="GM13" s="501"/>
      <c r="GN13" s="501"/>
      <c r="GO13" s="501"/>
      <c r="GP13" s="501"/>
      <c r="GQ13" s="501"/>
      <c r="GR13" s="501"/>
      <c r="GS13" s="501"/>
      <c r="GT13" s="501"/>
      <c r="GU13" s="501"/>
      <c r="GV13" s="501"/>
      <c r="GW13" s="501"/>
      <c r="GX13" s="501"/>
      <c r="GY13" s="501"/>
      <c r="GZ13" s="501"/>
      <c r="HA13" s="501"/>
      <c r="HB13" s="501"/>
      <c r="HC13" s="501"/>
      <c r="HD13" s="501"/>
      <c r="HE13" s="501"/>
      <c r="HF13" s="501"/>
      <c r="HG13" s="501"/>
      <c r="HH13" s="501"/>
      <c r="HI13" s="501"/>
      <c r="HJ13" s="501"/>
      <c r="HK13" s="501"/>
      <c r="HL13" s="501"/>
      <c r="HM13" s="501"/>
      <c r="HN13" s="501"/>
      <c r="HO13" s="501"/>
      <c r="HP13" s="501"/>
      <c r="HQ13" s="501"/>
      <c r="HR13" s="501"/>
      <c r="HS13" s="501"/>
      <c r="HT13" s="501"/>
      <c r="HU13" s="501"/>
      <c r="HV13" s="501"/>
      <c r="HW13" s="501"/>
      <c r="HX13" s="501"/>
      <c r="HY13" s="501"/>
      <c r="HZ13" s="501"/>
      <c r="IA13" s="501"/>
      <c r="IB13" s="501"/>
      <c r="IC13" s="501"/>
      <c r="ID13" s="501"/>
      <c r="IE13" s="501"/>
      <c r="IF13" s="501"/>
      <c r="IG13" s="501"/>
      <c r="IH13" s="501"/>
      <c r="II13" s="501"/>
      <c r="IJ13" s="501"/>
      <c r="IK13" s="501"/>
      <c r="IL13" s="501"/>
      <c r="IM13" s="501"/>
      <c r="IN13" s="501"/>
      <c r="IO13" s="501"/>
      <c r="IP13" s="501"/>
      <c r="IQ13" s="501"/>
      <c r="IR13" s="501"/>
      <c r="IS13" s="501"/>
      <c r="IT13" s="501"/>
      <c r="IU13" s="501"/>
      <c r="IV13" s="501"/>
      <c r="IW13" s="501"/>
      <c r="IX13" s="501"/>
      <c r="IY13" s="501"/>
      <c r="IZ13" s="501"/>
      <c r="JA13" s="501"/>
      <c r="JB13" s="501"/>
      <c r="JC13" s="501"/>
      <c r="JD13" s="501"/>
      <c r="JE13" s="501"/>
      <c r="JF13" s="501"/>
      <c r="JG13" s="501"/>
      <c r="JH13" s="501"/>
      <c r="JI13" s="501"/>
      <c r="JJ13" s="501"/>
      <c r="JK13" s="501"/>
      <c r="JL13" s="501"/>
      <c r="JM13" s="501"/>
      <c r="JN13" s="501"/>
      <c r="JO13" s="501"/>
      <c r="JP13" s="501"/>
      <c r="JQ13" s="501"/>
      <c r="JR13" s="501"/>
      <c r="JS13" s="501"/>
      <c r="JT13" s="501"/>
      <c r="JU13" s="501"/>
      <c r="JV13" s="501"/>
      <c r="JW13" s="501"/>
      <c r="JX13" s="501"/>
      <c r="JY13" s="501"/>
      <c r="JZ13" s="501"/>
      <c r="KA13" s="501"/>
      <c r="KB13" s="501"/>
      <c r="KC13" s="501"/>
      <c r="KD13" s="501"/>
      <c r="KE13" s="501"/>
      <c r="KF13" s="501"/>
      <c r="KG13" s="501"/>
      <c r="KH13" s="501"/>
      <c r="KI13" s="501"/>
      <c r="KJ13" s="501"/>
      <c r="KK13" s="501"/>
      <c r="KL13" s="501"/>
      <c r="KM13" s="501"/>
      <c r="KN13" s="501"/>
      <c r="KO13" s="501"/>
      <c r="KP13" s="501"/>
      <c r="KQ13" s="501"/>
      <c r="KR13" s="501"/>
      <c r="KS13" s="501"/>
      <c r="KT13" s="501"/>
      <c r="KU13" s="501"/>
      <c r="KV13" s="501"/>
      <c r="KW13" s="501"/>
      <c r="KX13" s="501"/>
      <c r="KY13" s="501"/>
      <c r="KZ13" s="501"/>
      <c r="LA13" s="501"/>
      <c r="LB13" s="501"/>
      <c r="LC13" s="501"/>
      <c r="LD13" s="501"/>
      <c r="LE13" s="501"/>
      <c r="LF13" s="501"/>
      <c r="LG13" s="501"/>
      <c r="LH13" s="501"/>
      <c r="LI13" s="501"/>
      <c r="LJ13" s="501"/>
      <c r="LK13" s="501"/>
      <c r="LL13" s="501"/>
      <c r="LM13" s="501"/>
      <c r="LN13" s="501"/>
      <c r="LO13" s="501"/>
      <c r="LP13" s="501"/>
      <c r="LQ13" s="501"/>
      <c r="LR13" s="501"/>
      <c r="LS13" s="501"/>
      <c r="LT13" s="501"/>
      <c r="LU13" s="501"/>
      <c r="LV13" s="501"/>
      <c r="LW13" s="501"/>
      <c r="LX13" s="501"/>
      <c r="LY13" s="501"/>
      <c r="LZ13" s="501"/>
      <c r="MA13" s="501"/>
      <c r="MB13" s="501"/>
      <c r="MC13" s="501"/>
      <c r="MD13" s="501"/>
      <c r="ME13" s="501"/>
      <c r="MF13" s="501"/>
      <c r="MG13" s="501"/>
      <c r="MH13" s="501"/>
      <c r="MI13" s="501"/>
      <c r="MJ13" s="501"/>
      <c r="MK13" s="501"/>
      <c r="ML13" s="501"/>
      <c r="MM13" s="501"/>
      <c r="MN13" s="501"/>
      <c r="MO13" s="501"/>
      <c r="MP13" s="501"/>
      <c r="MQ13" s="501"/>
      <c r="MR13" s="501"/>
      <c r="MS13" s="501"/>
      <c r="MT13" s="501"/>
      <c r="MU13" s="501"/>
      <c r="MV13" s="501"/>
      <c r="MW13" s="501"/>
      <c r="MX13" s="501"/>
      <c r="MY13" s="501"/>
      <c r="MZ13" s="501"/>
      <c r="NA13" s="501"/>
      <c r="NB13" s="501"/>
      <c r="NC13" s="501"/>
      <c r="ND13" s="501"/>
      <c r="NE13" s="501"/>
      <c r="NF13" s="501"/>
      <c r="NG13" s="501"/>
      <c r="NH13" s="501"/>
      <c r="NI13" s="501"/>
      <c r="NJ13" s="501"/>
      <c r="NK13" s="501"/>
      <c r="NL13" s="501"/>
      <c r="NM13" s="501"/>
      <c r="NN13" s="501"/>
      <c r="NO13" s="501"/>
      <c r="NP13" s="501"/>
      <c r="NQ13" s="501"/>
      <c r="NR13" s="501"/>
      <c r="NS13" s="501"/>
      <c r="NT13" s="501"/>
      <c r="NU13" s="501"/>
      <c r="NV13" s="501"/>
      <c r="NW13" s="501"/>
      <c r="NX13" s="501"/>
      <c r="NY13" s="501"/>
      <c r="NZ13" s="501"/>
      <c r="OA13" s="501"/>
      <c r="OB13" s="501"/>
      <c r="OC13" s="501"/>
      <c r="OD13" s="501"/>
      <c r="OE13" s="501"/>
      <c r="OF13" s="501"/>
      <c r="OG13" s="501"/>
      <c r="OH13" s="501"/>
      <c r="OI13" s="501"/>
      <c r="OJ13" s="501"/>
      <c r="OK13" s="501"/>
      <c r="OL13" s="501"/>
      <c r="OM13" s="501"/>
      <c r="ON13" s="501"/>
      <c r="OO13" s="501"/>
      <c r="OP13" s="501"/>
      <c r="OQ13" s="501"/>
      <c r="OR13" s="501"/>
      <c r="OS13" s="501"/>
      <c r="OT13" s="501"/>
      <c r="OU13" s="501"/>
      <c r="OV13" s="501"/>
      <c r="OW13" s="501"/>
      <c r="OX13" s="501"/>
      <c r="OY13" s="501"/>
      <c r="OZ13" s="501"/>
      <c r="PA13" s="501"/>
      <c r="PB13" s="501"/>
      <c r="PC13" s="501"/>
      <c r="PD13" s="501"/>
      <c r="PE13" s="501"/>
      <c r="PF13" s="501"/>
      <c r="PG13" s="501"/>
      <c r="PH13" s="501"/>
      <c r="PI13" s="501"/>
      <c r="PJ13" s="501"/>
      <c r="PK13" s="501"/>
      <c r="PL13" s="501"/>
      <c r="PM13" s="501"/>
      <c r="PN13" s="501"/>
      <c r="PO13" s="501"/>
      <c r="PP13" s="501"/>
      <c r="PQ13" s="501"/>
      <c r="PR13" s="501"/>
      <c r="PS13" s="501"/>
      <c r="PT13" s="501"/>
      <c r="PU13" s="501"/>
      <c r="PV13" s="501"/>
      <c r="PW13" s="501"/>
      <c r="PX13" s="501"/>
      <c r="PY13" s="501"/>
      <c r="PZ13" s="501"/>
      <c r="QA13" s="501"/>
      <c r="QB13" s="501"/>
      <c r="QC13" s="501"/>
      <c r="QD13" s="501"/>
      <c r="QE13" s="501"/>
      <c r="QF13" s="501"/>
      <c r="QG13" s="501"/>
      <c r="QH13" s="501"/>
      <c r="QI13" s="501"/>
      <c r="QJ13" s="501"/>
      <c r="QK13" s="501"/>
      <c r="QL13" s="501"/>
      <c r="QM13" s="501"/>
      <c r="QN13" s="501"/>
      <c r="QO13" s="501"/>
      <c r="QP13" s="501"/>
      <c r="QQ13" s="501"/>
      <c r="QR13" s="501"/>
      <c r="QS13" s="501"/>
      <c r="QT13" s="501"/>
      <c r="QU13" s="501"/>
      <c r="QV13" s="501"/>
      <c r="QW13" s="501"/>
      <c r="QX13" s="501"/>
      <c r="QY13" s="501"/>
      <c r="QZ13" s="501"/>
      <c r="RA13" s="501"/>
      <c r="RB13" s="501"/>
      <c r="RC13" s="501"/>
      <c r="RD13" s="501"/>
      <c r="RE13" s="501"/>
      <c r="RF13" s="501"/>
      <c r="RG13" s="501"/>
      <c r="RH13" s="501"/>
      <c r="RI13" s="501"/>
      <c r="RJ13" s="501"/>
      <c r="RK13" s="501"/>
      <c r="RL13" s="501"/>
      <c r="RM13" s="501"/>
      <c r="RN13" s="501"/>
      <c r="RO13" s="501"/>
      <c r="RP13" s="501"/>
      <c r="RQ13" s="501"/>
      <c r="RR13" s="501"/>
      <c r="RS13" s="501"/>
      <c r="RT13" s="501"/>
      <c r="RU13" s="501"/>
      <c r="RV13" s="501"/>
      <c r="RW13" s="501"/>
      <c r="RX13" s="501"/>
      <c r="RY13" s="501"/>
      <c r="RZ13" s="501"/>
      <c r="SA13" s="501"/>
      <c r="SB13" s="501"/>
      <c r="SC13" s="501"/>
      <c r="SD13" s="501"/>
      <c r="SE13" s="501"/>
      <c r="SF13" s="501"/>
      <c r="SG13" s="501"/>
      <c r="SH13" s="501"/>
      <c r="SI13" s="501"/>
      <c r="SJ13" s="501"/>
      <c r="SK13" s="501"/>
      <c r="SL13" s="501"/>
      <c r="SM13" s="501"/>
      <c r="SN13" s="501"/>
      <c r="SO13" s="501"/>
      <c r="SP13" s="501"/>
      <c r="SQ13" s="501"/>
      <c r="SR13" s="501"/>
      <c r="SS13" s="501"/>
      <c r="ST13" s="501"/>
      <c r="SU13" s="501"/>
      <c r="SV13" s="501"/>
      <c r="SW13" s="501"/>
      <c r="SX13" s="501"/>
      <c r="SY13" s="501"/>
      <c r="SZ13" s="501"/>
      <c r="TA13" s="501"/>
      <c r="TB13" s="501"/>
      <c r="TC13" s="501"/>
      <c r="TD13" s="501"/>
      <c r="TE13" s="501"/>
      <c r="TF13" s="501"/>
      <c r="TG13" s="501"/>
      <c r="TH13" s="501"/>
      <c r="TI13" s="501"/>
      <c r="TJ13" s="501"/>
      <c r="TK13" s="501"/>
      <c r="TL13" s="501"/>
      <c r="TM13" s="501"/>
      <c r="TN13" s="501"/>
      <c r="TO13" s="501"/>
      <c r="TP13" s="501"/>
      <c r="TQ13" s="501"/>
      <c r="TR13" s="501"/>
      <c r="TS13" s="501"/>
      <c r="TT13" s="501"/>
      <c r="TU13" s="501"/>
      <c r="TV13" s="501"/>
      <c r="TW13" s="501"/>
      <c r="TX13" s="501"/>
      <c r="TY13" s="501"/>
      <c r="TZ13" s="501"/>
      <c r="UA13" s="501"/>
      <c r="UB13" s="501"/>
      <c r="UC13" s="501"/>
      <c r="UD13" s="501"/>
      <c r="UE13" s="501"/>
      <c r="UF13" s="501"/>
      <c r="UG13" s="501"/>
      <c r="UH13" s="501"/>
      <c r="UI13" s="501"/>
      <c r="UJ13" s="501"/>
      <c r="UK13" s="501"/>
      <c r="UL13" s="501"/>
      <c r="UM13" s="501"/>
      <c r="UN13" s="501"/>
      <c r="UO13" s="501"/>
      <c r="UP13" s="501"/>
      <c r="UQ13" s="501"/>
      <c r="UR13" s="501"/>
      <c r="US13" s="501"/>
      <c r="UT13" s="501"/>
      <c r="UU13" s="501"/>
      <c r="UV13" s="501"/>
      <c r="UW13" s="501"/>
      <c r="UX13" s="501"/>
      <c r="UY13" s="501"/>
      <c r="UZ13" s="501"/>
      <c r="VA13" s="501"/>
      <c r="VB13" s="501"/>
      <c r="VC13" s="501"/>
      <c r="VD13" s="501"/>
      <c r="VE13" s="501"/>
      <c r="VF13" s="501"/>
      <c r="VG13" s="501"/>
      <c r="VH13" s="501"/>
      <c r="VI13" s="501"/>
      <c r="VJ13" s="501"/>
      <c r="VK13" s="501"/>
      <c r="VL13" s="501"/>
      <c r="VM13" s="501"/>
      <c r="VN13" s="501"/>
      <c r="VO13" s="501"/>
      <c r="VP13" s="501"/>
      <c r="VQ13" s="501"/>
      <c r="VR13" s="501"/>
      <c r="VS13" s="501"/>
      <c r="VT13" s="501"/>
      <c r="VU13" s="501"/>
      <c r="VV13" s="501"/>
      <c r="VW13" s="501"/>
      <c r="VX13" s="501"/>
      <c r="VY13" s="501"/>
      <c r="VZ13" s="501"/>
      <c r="WA13" s="501"/>
      <c r="WB13" s="501"/>
      <c r="WC13" s="501"/>
      <c r="WD13" s="501"/>
      <c r="WE13" s="501"/>
      <c r="WF13" s="501"/>
      <c r="WG13" s="501"/>
      <c r="WH13" s="501"/>
      <c r="WI13" s="501"/>
      <c r="WJ13" s="501"/>
      <c r="WK13" s="501"/>
      <c r="WL13" s="501"/>
      <c r="WM13" s="501"/>
      <c r="WN13" s="501"/>
      <c r="WO13" s="501"/>
      <c r="WP13" s="501"/>
      <c r="WQ13" s="501"/>
      <c r="WR13" s="501"/>
      <c r="WS13" s="501"/>
      <c r="WT13" s="501"/>
      <c r="WU13" s="501"/>
      <c r="WV13" s="501"/>
      <c r="WW13" s="501"/>
      <c r="WX13" s="501"/>
      <c r="WY13" s="501"/>
      <c r="WZ13" s="501"/>
      <c r="XA13" s="501"/>
      <c r="XB13" s="501"/>
      <c r="XC13" s="501"/>
      <c r="XD13" s="501"/>
      <c r="XE13" s="501"/>
      <c r="XF13" s="501"/>
      <c r="XG13" s="501"/>
      <c r="XH13" s="501"/>
      <c r="XI13" s="501"/>
      <c r="XJ13" s="501"/>
      <c r="XK13" s="501"/>
      <c r="XL13" s="501"/>
      <c r="XM13" s="501"/>
      <c r="XN13" s="501"/>
      <c r="XO13" s="501"/>
      <c r="XP13" s="501"/>
      <c r="XQ13" s="501"/>
      <c r="XR13" s="501"/>
      <c r="XS13" s="501"/>
      <c r="XT13" s="501"/>
      <c r="XU13" s="501"/>
      <c r="XV13" s="501"/>
      <c r="XW13" s="501"/>
      <c r="XX13" s="501"/>
      <c r="XY13" s="501"/>
      <c r="XZ13" s="501"/>
      <c r="YA13" s="501"/>
      <c r="YB13" s="501"/>
      <c r="YC13" s="501"/>
      <c r="YD13" s="501"/>
      <c r="YE13" s="501"/>
      <c r="YF13" s="501"/>
      <c r="YG13" s="501"/>
      <c r="YH13" s="501"/>
      <c r="YI13" s="501"/>
      <c r="YJ13" s="501"/>
      <c r="YK13" s="501"/>
      <c r="YL13" s="501"/>
      <c r="YM13" s="501"/>
      <c r="YN13" s="501"/>
      <c r="YO13" s="501"/>
      <c r="YP13" s="501"/>
      <c r="YQ13" s="501"/>
      <c r="YR13" s="501"/>
      <c r="YS13" s="501"/>
      <c r="YT13" s="501"/>
      <c r="YU13" s="501"/>
      <c r="YV13" s="501"/>
      <c r="YW13" s="501"/>
      <c r="YX13" s="501"/>
      <c r="YY13" s="501"/>
      <c r="YZ13" s="501"/>
      <c r="ZA13" s="501"/>
      <c r="ZB13" s="501"/>
      <c r="ZC13" s="501"/>
      <c r="ZD13" s="501"/>
      <c r="ZE13" s="501"/>
      <c r="ZF13" s="501"/>
      <c r="ZG13" s="501"/>
      <c r="ZH13" s="501"/>
      <c r="ZI13" s="501"/>
      <c r="ZJ13" s="501"/>
      <c r="ZK13" s="501"/>
      <c r="ZL13" s="501"/>
      <c r="ZM13" s="501"/>
      <c r="ZN13" s="501"/>
      <c r="ZO13" s="501"/>
      <c r="ZP13" s="501"/>
      <c r="ZQ13" s="501"/>
      <c r="ZR13" s="501"/>
      <c r="ZS13" s="501"/>
      <c r="ZT13" s="501"/>
      <c r="ZU13" s="501"/>
      <c r="ZV13" s="501"/>
      <c r="ZW13" s="501"/>
      <c r="ZX13" s="501"/>
      <c r="ZY13" s="501"/>
      <c r="ZZ13" s="501"/>
      <c r="AAA13" s="501"/>
      <c r="AAB13" s="501"/>
      <c r="AAC13" s="501"/>
      <c r="AAD13" s="501"/>
      <c r="AAE13" s="501"/>
      <c r="AAF13" s="501"/>
      <c r="AAG13" s="501"/>
      <c r="AAH13" s="501"/>
      <c r="AAI13" s="501"/>
      <c r="AAJ13" s="501"/>
      <c r="AAK13" s="501"/>
      <c r="AAL13" s="501"/>
      <c r="AAM13" s="501"/>
      <c r="AAN13" s="501"/>
      <c r="AAO13" s="501"/>
      <c r="AAP13" s="501"/>
      <c r="AAQ13" s="501"/>
      <c r="AAR13" s="501"/>
      <c r="AAS13" s="501"/>
      <c r="AAT13" s="501"/>
      <c r="AAU13" s="501"/>
      <c r="AAV13" s="501"/>
      <c r="AAW13" s="501"/>
      <c r="AAX13" s="501"/>
      <c r="AAY13" s="501"/>
      <c r="AAZ13" s="501"/>
      <c r="ABA13" s="501"/>
      <c r="ABB13" s="501"/>
      <c r="ABC13" s="501"/>
      <c r="ABD13" s="501"/>
      <c r="ABE13" s="501"/>
      <c r="ABF13" s="501"/>
      <c r="ABG13" s="501"/>
      <c r="ABH13" s="501"/>
      <c r="ABI13" s="501"/>
      <c r="ABJ13" s="501"/>
      <c r="ABK13" s="501"/>
      <c r="ABL13" s="501"/>
      <c r="ABM13" s="501"/>
      <c r="ABN13" s="501"/>
      <c r="ABO13" s="501"/>
      <c r="ABP13" s="501"/>
      <c r="ABQ13" s="501"/>
      <c r="ABR13" s="501"/>
      <c r="ABS13" s="501"/>
      <c r="ABT13" s="501"/>
      <c r="ABU13" s="501"/>
      <c r="ABV13" s="501"/>
      <c r="ABW13" s="501"/>
      <c r="ABX13" s="501"/>
      <c r="ABY13" s="501"/>
      <c r="ABZ13" s="501"/>
      <c r="ACA13" s="501"/>
      <c r="ACB13" s="501"/>
      <c r="ACC13" s="501"/>
      <c r="ACD13" s="501"/>
      <c r="ACE13" s="501"/>
      <c r="ACF13" s="501"/>
      <c r="ACG13" s="501"/>
      <c r="ACH13" s="501"/>
      <c r="ACI13" s="501"/>
      <c r="ACJ13" s="501"/>
      <c r="ACK13" s="501"/>
      <c r="ACL13" s="501"/>
      <c r="ACM13" s="501"/>
      <c r="ACN13" s="501"/>
      <c r="ACO13" s="501"/>
      <c r="ACP13" s="501"/>
      <c r="ACQ13" s="501"/>
      <c r="ACR13" s="501"/>
      <c r="ACS13" s="501"/>
      <c r="ACT13" s="501"/>
      <c r="ACU13" s="501"/>
      <c r="ACV13" s="501"/>
      <c r="ACW13" s="501"/>
      <c r="ACX13" s="501"/>
      <c r="ACY13" s="501"/>
      <c r="ACZ13" s="501"/>
      <c r="ADA13" s="501"/>
      <c r="ADB13" s="501"/>
      <c r="ADC13" s="501"/>
      <c r="ADD13" s="501"/>
      <c r="ADE13" s="501"/>
      <c r="ADF13" s="501"/>
      <c r="ADG13" s="501"/>
      <c r="ADH13" s="501"/>
      <c r="ADI13" s="501"/>
      <c r="ADJ13" s="501"/>
      <c r="ADK13" s="501"/>
      <c r="ADL13" s="501"/>
      <c r="ADM13" s="501"/>
      <c r="ADN13" s="501"/>
      <c r="ADO13" s="501"/>
      <c r="ADP13" s="501"/>
      <c r="ADQ13" s="501"/>
      <c r="ADR13" s="501"/>
      <c r="ADS13" s="501"/>
      <c r="ADT13" s="501"/>
      <c r="ADU13" s="501"/>
      <c r="ADV13" s="501"/>
      <c r="ADW13" s="501"/>
      <c r="ADX13" s="501"/>
      <c r="ADY13" s="501"/>
      <c r="ADZ13" s="501"/>
      <c r="AEA13" s="501"/>
      <c r="AEB13" s="501"/>
      <c r="AEC13" s="501"/>
      <c r="AED13" s="501"/>
      <c r="AEE13" s="501"/>
      <c r="AEF13" s="501"/>
      <c r="AEG13" s="501"/>
      <c r="AEH13" s="501"/>
      <c r="AEI13" s="501"/>
      <c r="AEJ13" s="501"/>
      <c r="AEK13" s="501"/>
      <c r="AEL13" s="501"/>
      <c r="AEM13" s="501"/>
      <c r="AEN13" s="501"/>
      <c r="AEO13" s="501"/>
      <c r="AEP13" s="501"/>
      <c r="AEQ13" s="501"/>
      <c r="AER13" s="501"/>
      <c r="AES13" s="501"/>
      <c r="AET13" s="501"/>
      <c r="AEU13" s="501"/>
      <c r="AEV13" s="501"/>
      <c r="AEW13" s="501"/>
      <c r="AEX13" s="501"/>
      <c r="AEY13" s="501"/>
      <c r="AEZ13" s="501"/>
      <c r="AFA13" s="501"/>
      <c r="AFB13" s="501"/>
      <c r="AFC13" s="501"/>
      <c r="AFD13" s="501"/>
      <c r="AFE13" s="501"/>
      <c r="AFF13" s="501"/>
      <c r="AFG13" s="501"/>
      <c r="AFH13" s="501"/>
      <c r="AFI13" s="501"/>
      <c r="AFJ13" s="501"/>
      <c r="AFK13" s="501"/>
      <c r="AFL13" s="501"/>
      <c r="AFM13" s="501"/>
      <c r="AFN13" s="501"/>
      <c r="AFO13" s="501"/>
      <c r="AFP13" s="501"/>
      <c r="AFQ13" s="501"/>
      <c r="AFR13" s="501"/>
      <c r="AFS13" s="501"/>
      <c r="AFT13" s="501"/>
      <c r="AFU13" s="501"/>
      <c r="AFV13" s="501"/>
      <c r="AFW13" s="501"/>
      <c r="AFX13" s="501"/>
      <c r="AFY13" s="501"/>
      <c r="AFZ13" s="501"/>
      <c r="AGA13" s="501"/>
      <c r="AGB13" s="501"/>
      <c r="AGC13" s="501"/>
      <c r="AGD13" s="501"/>
      <c r="AGE13" s="501"/>
      <c r="AGF13" s="501"/>
      <c r="AGG13" s="501"/>
      <c r="AGH13" s="501"/>
      <c r="AGI13" s="501"/>
      <c r="AGJ13" s="501"/>
      <c r="AGK13" s="501"/>
      <c r="AGL13" s="501"/>
      <c r="AGM13" s="501"/>
      <c r="AGN13" s="501"/>
      <c r="AGO13" s="501"/>
      <c r="AGP13" s="501"/>
      <c r="AGQ13" s="501"/>
      <c r="AGR13" s="501"/>
      <c r="AGS13" s="501"/>
      <c r="AGT13" s="501"/>
      <c r="AGU13" s="501"/>
      <c r="AGV13" s="501"/>
      <c r="AGW13" s="501"/>
      <c r="AGX13" s="501"/>
      <c r="AGY13" s="501"/>
      <c r="AGZ13" s="501"/>
      <c r="AHA13" s="501"/>
      <c r="AHB13" s="501"/>
      <c r="AHC13" s="501"/>
      <c r="AHD13" s="501"/>
      <c r="AHE13" s="501"/>
      <c r="AHF13" s="501"/>
      <c r="AHG13" s="501"/>
      <c r="AHH13" s="501"/>
      <c r="AHI13" s="501"/>
      <c r="AHJ13" s="501"/>
      <c r="AHK13" s="501"/>
      <c r="AHL13" s="501"/>
      <c r="AHM13" s="501"/>
      <c r="AHN13" s="501"/>
      <c r="AHO13" s="501"/>
      <c r="AHP13" s="501"/>
      <c r="AHQ13" s="501"/>
      <c r="AHR13" s="501"/>
      <c r="AHS13" s="501"/>
      <c r="AHT13" s="501"/>
      <c r="AHU13" s="501"/>
      <c r="AHV13" s="501"/>
      <c r="AHW13" s="501"/>
      <c r="AHX13" s="501"/>
      <c r="AHY13" s="501"/>
      <c r="AHZ13" s="501"/>
      <c r="AIA13" s="501"/>
      <c r="AIB13" s="501"/>
      <c r="AIC13" s="501"/>
      <c r="AID13" s="501"/>
      <c r="AIE13" s="501"/>
      <c r="AIF13" s="501"/>
      <c r="AIG13" s="501"/>
      <c r="AIH13" s="501"/>
      <c r="AII13" s="501"/>
      <c r="AIJ13" s="501"/>
      <c r="AIK13" s="501"/>
      <c r="AIL13" s="501"/>
      <c r="AIM13" s="501"/>
      <c r="AIN13" s="501"/>
      <c r="AIO13" s="501"/>
      <c r="AIP13" s="501"/>
      <c r="AIQ13" s="501"/>
      <c r="AIR13" s="501"/>
      <c r="AIS13" s="501"/>
      <c r="AIT13" s="501"/>
      <c r="AIU13" s="501"/>
      <c r="AIV13" s="501"/>
      <c r="AIW13" s="501"/>
      <c r="AIX13" s="501"/>
      <c r="AIY13" s="501"/>
      <c r="AIZ13" s="501"/>
      <c r="AJA13" s="501"/>
      <c r="AJB13" s="501"/>
      <c r="AJC13" s="501"/>
      <c r="AJD13" s="501"/>
      <c r="AJE13" s="501"/>
      <c r="AJF13" s="501"/>
      <c r="AJG13" s="501"/>
      <c r="AJH13" s="501"/>
      <c r="AJI13" s="501"/>
      <c r="AJJ13" s="501"/>
      <c r="AJK13" s="501"/>
      <c r="AJL13" s="501"/>
      <c r="AJM13" s="501"/>
      <c r="AJN13" s="501"/>
      <c r="AJO13" s="501"/>
      <c r="AJP13" s="501"/>
      <c r="AJQ13" s="501"/>
      <c r="AJR13" s="501"/>
      <c r="AJS13" s="501"/>
      <c r="AJT13" s="501"/>
      <c r="AJU13" s="501"/>
      <c r="AJV13" s="501"/>
      <c r="AJW13" s="501"/>
      <c r="AJX13" s="501"/>
      <c r="AJY13" s="501"/>
      <c r="AJZ13" s="501"/>
      <c r="AKA13" s="501"/>
      <c r="AKB13" s="501"/>
      <c r="AKC13" s="501"/>
      <c r="AKD13" s="501"/>
      <c r="AKE13" s="501"/>
      <c r="AKF13" s="501"/>
      <c r="AKG13" s="501"/>
      <c r="AKH13" s="501"/>
      <c r="AKI13" s="501"/>
      <c r="AKJ13" s="501"/>
      <c r="AKK13" s="501"/>
      <c r="AKL13" s="501"/>
      <c r="AKM13" s="501"/>
      <c r="AKN13" s="501"/>
      <c r="AKO13" s="501"/>
      <c r="AKP13" s="501"/>
      <c r="AKQ13" s="501"/>
      <c r="AKR13" s="501"/>
      <c r="AKS13" s="501"/>
      <c r="AKT13" s="501"/>
      <c r="AKU13" s="501"/>
      <c r="AKV13" s="501"/>
      <c r="AKW13" s="501"/>
      <c r="AKX13" s="501"/>
      <c r="AKY13" s="501"/>
      <c r="AKZ13" s="501"/>
      <c r="ALA13" s="501"/>
      <c r="ALB13" s="501"/>
      <c r="ALC13" s="501"/>
      <c r="ALD13" s="501"/>
      <c r="ALE13" s="501"/>
      <c r="ALF13" s="501"/>
      <c r="ALG13" s="501"/>
      <c r="ALH13" s="501"/>
      <c r="ALI13" s="501"/>
      <c r="ALJ13" s="501"/>
      <c r="ALK13" s="501"/>
      <c r="ALL13" s="501"/>
      <c r="ALM13" s="501"/>
      <c r="ALN13" s="501"/>
      <c r="ALO13" s="501"/>
      <c r="ALP13" s="501"/>
      <c r="ALQ13" s="501"/>
      <c r="ALR13" s="501"/>
      <c r="ALS13" s="501"/>
      <c r="ALT13" s="501"/>
      <c r="ALU13" s="501"/>
      <c r="ALV13" s="501"/>
      <c r="ALW13" s="501"/>
      <c r="ALX13" s="501"/>
      <c r="ALY13" s="501"/>
      <c r="ALZ13" s="501"/>
      <c r="AMA13" s="501"/>
      <c r="AMB13" s="501"/>
      <c r="AMC13" s="501"/>
      <c r="AMD13" s="501"/>
      <c r="AME13" s="501"/>
      <c r="AMF13" s="501"/>
      <c r="AMG13" s="501"/>
      <c r="AMH13" s="501"/>
      <c r="AMI13" s="501"/>
      <c r="AMJ13" s="501"/>
      <c r="AMK13" s="501"/>
      <c r="AML13" s="501"/>
      <c r="AMM13" s="501"/>
      <c r="AMN13" s="501"/>
      <c r="AMO13" s="501"/>
      <c r="AMP13" s="501"/>
      <c r="AMQ13" s="501"/>
      <c r="AMR13" s="501"/>
      <c r="AMS13" s="501"/>
      <c r="AMT13" s="501"/>
      <c r="AMU13" s="501"/>
      <c r="AMV13" s="501"/>
      <c r="AMW13" s="501"/>
      <c r="AMX13" s="501"/>
      <c r="AMY13" s="501"/>
      <c r="AMZ13" s="501"/>
      <c r="ANA13" s="501"/>
      <c r="ANB13" s="501"/>
      <c r="ANC13" s="501"/>
      <c r="AND13" s="501"/>
      <c r="ANE13" s="501"/>
      <c r="ANF13" s="501"/>
      <c r="ANG13" s="501"/>
      <c r="ANH13" s="501"/>
      <c r="ANI13" s="501"/>
      <c r="ANJ13" s="501"/>
      <c r="ANK13" s="501"/>
      <c r="ANL13" s="501"/>
      <c r="ANM13" s="501"/>
      <c r="ANN13" s="501"/>
      <c r="ANO13" s="501"/>
      <c r="ANP13" s="501"/>
      <c r="ANQ13" s="501"/>
      <c r="ANR13" s="501"/>
      <c r="ANS13" s="501"/>
      <c r="ANT13" s="501"/>
      <c r="ANU13" s="501"/>
      <c r="ANV13" s="501"/>
      <c r="ANW13" s="501"/>
      <c r="ANX13" s="501"/>
      <c r="ANY13" s="501"/>
      <c r="ANZ13" s="501"/>
      <c r="AOA13" s="501"/>
      <c r="AOB13" s="501"/>
      <c r="AOC13" s="501"/>
      <c r="AOD13" s="501"/>
      <c r="AOE13" s="501"/>
      <c r="AOF13" s="501"/>
      <c r="AOG13" s="501"/>
      <c r="AOH13" s="501"/>
      <c r="AOI13" s="501"/>
      <c r="AOJ13" s="501"/>
      <c r="AOK13" s="501"/>
      <c r="AOL13" s="501"/>
      <c r="AOM13" s="501"/>
      <c r="AON13" s="501"/>
      <c r="AOO13" s="501"/>
      <c r="AOP13" s="501"/>
      <c r="AOQ13" s="501"/>
      <c r="AOR13" s="501"/>
      <c r="AOS13" s="501"/>
      <c r="AOT13" s="501"/>
      <c r="AOU13" s="501"/>
      <c r="AOV13" s="501"/>
      <c r="AOW13" s="501"/>
      <c r="AOX13" s="501"/>
      <c r="AOY13" s="501"/>
      <c r="AOZ13" s="501"/>
      <c r="APA13" s="501"/>
      <c r="APB13" s="501"/>
      <c r="APC13" s="501"/>
      <c r="APD13" s="501"/>
      <c r="APE13" s="501"/>
      <c r="APF13" s="501"/>
      <c r="APG13" s="501"/>
      <c r="APH13" s="501"/>
      <c r="API13" s="501"/>
      <c r="APJ13" s="501"/>
      <c r="APK13" s="501"/>
      <c r="APL13" s="501"/>
      <c r="APM13" s="501"/>
      <c r="APN13" s="501"/>
      <c r="APO13" s="501"/>
      <c r="APP13" s="501"/>
      <c r="APQ13" s="501"/>
      <c r="APR13" s="501"/>
      <c r="APS13" s="501"/>
      <c r="APT13" s="501"/>
      <c r="APU13" s="501"/>
      <c r="APV13" s="501"/>
      <c r="APW13" s="501"/>
      <c r="APX13" s="501"/>
      <c r="APY13" s="501"/>
      <c r="APZ13" s="501"/>
      <c r="AQA13" s="501"/>
      <c r="AQB13" s="501"/>
      <c r="AQC13" s="501"/>
      <c r="AQD13" s="501"/>
      <c r="AQE13" s="501"/>
      <c r="AQF13" s="501"/>
      <c r="AQG13" s="501"/>
      <c r="AQH13" s="501"/>
      <c r="AQI13" s="501"/>
      <c r="AQJ13" s="501"/>
      <c r="AQK13" s="501"/>
      <c r="AQL13" s="501"/>
      <c r="AQM13" s="501"/>
      <c r="AQN13" s="501"/>
      <c r="AQO13" s="501"/>
      <c r="AQP13" s="501"/>
      <c r="AQQ13" s="501"/>
      <c r="AQR13" s="501"/>
      <c r="AQS13" s="501"/>
      <c r="AQT13" s="501"/>
      <c r="AQU13" s="501"/>
      <c r="AQV13" s="501"/>
      <c r="AQW13" s="501"/>
      <c r="AQX13" s="501"/>
      <c r="AQY13" s="501"/>
      <c r="AQZ13" s="501"/>
      <c r="ARA13" s="501"/>
      <c r="ARB13" s="501"/>
      <c r="ARC13" s="501"/>
      <c r="ARD13" s="501"/>
      <c r="ARE13" s="501"/>
      <c r="ARF13" s="501"/>
      <c r="ARG13" s="501"/>
      <c r="ARH13" s="501"/>
      <c r="ARI13" s="501"/>
      <c r="ARJ13" s="501"/>
      <c r="ARK13" s="501"/>
      <c r="ARL13" s="501"/>
      <c r="ARM13" s="501"/>
      <c r="ARN13" s="501"/>
      <c r="ARO13" s="501"/>
      <c r="ARP13" s="501"/>
      <c r="ARQ13" s="501"/>
      <c r="ARR13" s="501"/>
      <c r="ARS13" s="501"/>
      <c r="ART13" s="501"/>
      <c r="ARU13" s="501"/>
      <c r="ARV13" s="501"/>
      <c r="ARW13" s="501"/>
      <c r="ARX13" s="501"/>
      <c r="ARY13" s="501"/>
      <c r="ARZ13" s="501"/>
      <c r="ASA13" s="501"/>
      <c r="ASB13" s="501"/>
      <c r="ASC13" s="501"/>
      <c r="ASD13" s="501"/>
      <c r="ASE13" s="501"/>
      <c r="ASF13" s="501"/>
      <c r="ASG13" s="501"/>
      <c r="ASH13" s="501"/>
      <c r="ASI13" s="501"/>
      <c r="ASJ13" s="501"/>
      <c r="ASK13" s="501"/>
      <c r="ASL13" s="501"/>
      <c r="ASM13" s="501"/>
      <c r="ASN13" s="501"/>
      <c r="ASO13" s="501"/>
      <c r="ASP13" s="501"/>
      <c r="ASQ13" s="501"/>
      <c r="ASR13" s="501"/>
      <c r="ASS13" s="501"/>
      <c r="AST13" s="501"/>
      <c r="ASU13" s="501"/>
      <c r="ASV13" s="501"/>
      <c r="ASW13" s="501"/>
      <c r="ASX13" s="501"/>
      <c r="ASY13" s="501"/>
      <c r="ASZ13" s="501"/>
      <c r="ATA13" s="501"/>
      <c r="ATB13" s="501"/>
      <c r="ATC13" s="501"/>
      <c r="ATD13" s="501"/>
      <c r="ATE13" s="501"/>
      <c r="ATF13" s="501"/>
      <c r="ATG13" s="501"/>
      <c r="ATH13" s="501"/>
      <c r="ATI13" s="501"/>
      <c r="ATJ13" s="501"/>
      <c r="ATK13" s="501"/>
      <c r="ATL13" s="501"/>
      <c r="ATM13" s="501"/>
      <c r="ATN13" s="501"/>
      <c r="ATO13" s="501"/>
      <c r="ATP13" s="501"/>
      <c r="ATQ13" s="501"/>
      <c r="ATR13" s="501"/>
      <c r="ATS13" s="501"/>
      <c r="ATT13" s="501"/>
      <c r="ATU13" s="501"/>
      <c r="ATV13" s="501"/>
      <c r="ATW13" s="501"/>
      <c r="ATX13" s="501"/>
      <c r="ATY13" s="501"/>
      <c r="ATZ13" s="501"/>
      <c r="AUA13" s="501"/>
      <c r="AUB13" s="501"/>
      <c r="AUC13" s="501"/>
      <c r="AUD13" s="501"/>
      <c r="AUE13" s="501"/>
      <c r="AUF13" s="501"/>
      <c r="AUG13" s="501"/>
      <c r="AUH13" s="501"/>
      <c r="AUI13" s="501"/>
      <c r="AUJ13" s="501"/>
      <c r="AUK13" s="501"/>
      <c r="AUL13" s="501"/>
      <c r="AUM13" s="501"/>
      <c r="AUN13" s="501"/>
      <c r="AUO13" s="501"/>
      <c r="AUP13" s="501"/>
      <c r="AUQ13" s="501"/>
      <c r="AUR13" s="501"/>
      <c r="AUS13" s="501"/>
      <c r="AUT13" s="501"/>
      <c r="AUU13" s="501"/>
      <c r="AUV13" s="501"/>
      <c r="AUW13" s="501"/>
      <c r="AUX13" s="501"/>
      <c r="AUY13" s="501"/>
      <c r="AUZ13" s="501"/>
      <c r="AVA13" s="501"/>
      <c r="AVB13" s="501"/>
      <c r="AVC13" s="501"/>
      <c r="AVD13" s="501"/>
      <c r="AVE13" s="501"/>
      <c r="AVF13" s="501"/>
      <c r="AVG13" s="501"/>
      <c r="AVH13" s="501"/>
      <c r="AVI13" s="501"/>
      <c r="AVJ13" s="501"/>
      <c r="AVK13" s="501"/>
      <c r="AVL13" s="501"/>
      <c r="AVM13" s="501"/>
      <c r="AVN13" s="501"/>
      <c r="AVO13" s="501"/>
      <c r="AVP13" s="501"/>
      <c r="AVQ13" s="501"/>
      <c r="AVR13" s="501"/>
      <c r="AVS13" s="501"/>
      <c r="AVT13" s="501"/>
      <c r="AVU13" s="501"/>
      <c r="AVV13" s="501"/>
      <c r="AVW13" s="501"/>
      <c r="AVX13" s="501"/>
      <c r="AVY13" s="501"/>
      <c r="AVZ13" s="501"/>
      <c r="AWA13" s="501"/>
      <c r="AWB13" s="501"/>
      <c r="AWC13" s="501"/>
      <c r="AWD13" s="501"/>
      <c r="AWE13" s="501"/>
      <c r="AWF13" s="501"/>
      <c r="AWG13" s="501"/>
      <c r="AWH13" s="501"/>
      <c r="AWI13" s="501"/>
      <c r="AWJ13" s="501"/>
      <c r="AWK13" s="501"/>
      <c r="AWL13" s="501"/>
      <c r="AWM13" s="501"/>
      <c r="AWN13" s="501"/>
      <c r="AWO13" s="501"/>
      <c r="AWP13" s="501"/>
      <c r="AWQ13" s="501"/>
      <c r="AWR13" s="501"/>
      <c r="AWS13" s="501"/>
      <c r="AWT13" s="501"/>
      <c r="AWU13" s="501"/>
      <c r="AWV13" s="501"/>
      <c r="AWW13" s="501"/>
      <c r="AWX13" s="501"/>
      <c r="AWY13" s="501"/>
      <c r="AWZ13" s="501"/>
      <c r="AXA13" s="501"/>
      <c r="AXB13" s="501"/>
      <c r="AXC13" s="501"/>
      <c r="AXD13" s="501"/>
      <c r="AXE13" s="501"/>
      <c r="AXF13" s="501"/>
      <c r="AXG13" s="501"/>
      <c r="AXH13" s="501"/>
      <c r="AXI13" s="501"/>
      <c r="AXJ13" s="501"/>
      <c r="AXK13" s="501"/>
      <c r="AXL13" s="501"/>
      <c r="AXM13" s="501"/>
      <c r="AXN13" s="501"/>
      <c r="AXO13" s="501"/>
      <c r="AXP13" s="501"/>
      <c r="AXQ13" s="501"/>
      <c r="AXR13" s="501"/>
      <c r="AXS13" s="501"/>
      <c r="AXT13" s="501"/>
      <c r="AXU13" s="501"/>
      <c r="AXV13" s="501"/>
      <c r="AXW13" s="501"/>
      <c r="AXX13" s="501"/>
      <c r="AXY13" s="501"/>
      <c r="AXZ13" s="501"/>
      <c r="AYA13" s="501"/>
      <c r="AYB13" s="501"/>
      <c r="AYC13" s="501"/>
      <c r="AYD13" s="501"/>
      <c r="AYE13" s="501"/>
      <c r="AYF13" s="501"/>
      <c r="AYG13" s="501"/>
      <c r="AYH13" s="501"/>
      <c r="AYI13" s="501"/>
      <c r="AYJ13" s="501"/>
      <c r="AYK13" s="501"/>
      <c r="AYL13" s="501"/>
      <c r="AYM13" s="501"/>
      <c r="AYN13" s="501"/>
      <c r="AYO13" s="501"/>
      <c r="AYP13" s="501"/>
      <c r="AYQ13" s="501"/>
      <c r="AYR13" s="501"/>
      <c r="AYS13" s="501"/>
      <c r="AYT13" s="501"/>
      <c r="AYU13" s="501"/>
      <c r="AYV13" s="501"/>
      <c r="AYW13" s="501"/>
      <c r="AYX13" s="501"/>
      <c r="AYY13" s="501"/>
      <c r="AYZ13" s="501"/>
      <c r="AZA13" s="501"/>
      <c r="AZB13" s="501"/>
      <c r="AZC13" s="501"/>
      <c r="AZD13" s="501"/>
      <c r="AZE13" s="501"/>
      <c r="AZF13" s="501"/>
      <c r="AZG13" s="501"/>
      <c r="AZH13" s="501"/>
      <c r="AZI13" s="501"/>
      <c r="AZJ13" s="501"/>
      <c r="AZK13" s="501"/>
      <c r="AZL13" s="501"/>
      <c r="AZM13" s="501"/>
      <c r="AZN13" s="501"/>
      <c r="AZO13" s="501"/>
      <c r="AZP13" s="501"/>
      <c r="AZQ13" s="501"/>
      <c r="AZR13" s="501"/>
      <c r="AZS13" s="501"/>
      <c r="AZT13" s="501"/>
      <c r="AZU13" s="501"/>
      <c r="AZV13" s="501"/>
      <c r="AZW13" s="501"/>
      <c r="AZX13" s="501"/>
      <c r="AZY13" s="501"/>
      <c r="AZZ13" s="501"/>
      <c r="BAA13" s="501"/>
      <c r="BAB13" s="501"/>
      <c r="BAC13" s="501"/>
      <c r="BAD13" s="501"/>
      <c r="BAE13" s="501"/>
      <c r="BAF13" s="501"/>
      <c r="BAG13" s="501"/>
      <c r="BAH13" s="501"/>
      <c r="BAI13" s="501"/>
      <c r="BAJ13" s="501"/>
      <c r="BAK13" s="501"/>
      <c r="BAL13" s="501"/>
      <c r="BAM13" s="501"/>
      <c r="BAN13" s="501"/>
      <c r="BAO13" s="501"/>
      <c r="BAP13" s="501"/>
      <c r="BAQ13" s="501"/>
      <c r="BAR13" s="501"/>
      <c r="BAS13" s="501"/>
      <c r="BAT13" s="501"/>
      <c r="BAU13" s="501"/>
      <c r="BAV13" s="501"/>
      <c r="BAW13" s="501"/>
      <c r="BAX13" s="501"/>
      <c r="BAY13" s="501"/>
      <c r="BAZ13" s="501"/>
      <c r="BBA13" s="501"/>
      <c r="BBB13" s="501"/>
      <c r="BBC13" s="501"/>
      <c r="BBD13" s="501"/>
      <c r="BBE13" s="501"/>
      <c r="BBF13" s="501"/>
      <c r="BBG13" s="501"/>
      <c r="BBH13" s="501"/>
      <c r="BBI13" s="501"/>
      <c r="BBJ13" s="501"/>
      <c r="BBK13" s="501"/>
      <c r="BBL13" s="501"/>
      <c r="BBM13" s="501"/>
      <c r="BBN13" s="501"/>
      <c r="BBO13" s="501"/>
      <c r="BBP13" s="501"/>
      <c r="BBQ13" s="501"/>
      <c r="BBR13" s="501"/>
      <c r="BBS13" s="501"/>
      <c r="BBT13" s="501"/>
      <c r="BBU13" s="501"/>
      <c r="BBV13" s="501"/>
      <c r="BBW13" s="501"/>
      <c r="BBX13" s="501"/>
      <c r="BBY13" s="501"/>
      <c r="BBZ13" s="501"/>
      <c r="BCA13" s="501"/>
      <c r="BCB13" s="501"/>
      <c r="BCC13" s="501"/>
      <c r="BCD13" s="501"/>
      <c r="BCE13" s="501"/>
      <c r="BCF13" s="501"/>
      <c r="BCG13" s="501"/>
      <c r="BCH13" s="501"/>
      <c r="BCI13" s="501"/>
      <c r="BCJ13" s="501"/>
      <c r="BCK13" s="501"/>
      <c r="BCL13" s="501"/>
      <c r="BCM13" s="501"/>
      <c r="BCN13" s="501"/>
      <c r="BCO13" s="501"/>
      <c r="BCP13" s="501"/>
      <c r="BCQ13" s="501"/>
      <c r="BCR13" s="501"/>
      <c r="BCS13" s="501"/>
      <c r="BCT13" s="501"/>
      <c r="BCU13" s="501"/>
      <c r="BCV13" s="501"/>
      <c r="BCW13" s="501"/>
      <c r="BCX13" s="501"/>
      <c r="BCY13" s="501"/>
      <c r="BCZ13" s="501"/>
      <c r="BDA13" s="501"/>
      <c r="BDB13" s="501"/>
      <c r="BDC13" s="501"/>
      <c r="BDD13" s="501"/>
      <c r="BDE13" s="501"/>
      <c r="BDF13" s="501"/>
      <c r="BDG13" s="501"/>
      <c r="BDH13" s="501"/>
      <c r="BDI13" s="501"/>
      <c r="BDJ13" s="501"/>
      <c r="BDK13" s="501"/>
      <c r="BDL13" s="501"/>
      <c r="BDM13" s="501"/>
      <c r="BDN13" s="501"/>
      <c r="BDO13" s="501"/>
      <c r="BDP13" s="501"/>
      <c r="BDQ13" s="501"/>
      <c r="BDR13" s="501"/>
      <c r="BDS13" s="501"/>
      <c r="BDT13" s="501"/>
      <c r="BDU13" s="501"/>
      <c r="BDV13" s="501"/>
      <c r="BDW13" s="501"/>
      <c r="BDX13" s="501"/>
      <c r="BDY13" s="501"/>
      <c r="BDZ13" s="501"/>
      <c r="BEA13" s="501"/>
      <c r="BEB13" s="501"/>
      <c r="BEC13" s="501"/>
      <c r="BED13" s="501"/>
      <c r="BEE13" s="501"/>
      <c r="BEF13" s="501"/>
      <c r="BEG13" s="501"/>
      <c r="BEH13" s="501"/>
      <c r="BEI13" s="501"/>
      <c r="BEJ13" s="501"/>
      <c r="BEK13" s="501"/>
      <c r="BEL13" s="501"/>
      <c r="BEM13" s="501"/>
      <c r="BEN13" s="501"/>
      <c r="BEO13" s="501"/>
      <c r="BEP13" s="501"/>
      <c r="BEQ13" s="501"/>
      <c r="BER13" s="501"/>
      <c r="BES13" s="501"/>
      <c r="BET13" s="501"/>
      <c r="BEU13" s="501"/>
      <c r="BEV13" s="501"/>
      <c r="BEW13" s="501"/>
      <c r="BEX13" s="501"/>
      <c r="BEY13" s="501"/>
      <c r="BEZ13" s="501"/>
      <c r="BFA13" s="501"/>
      <c r="BFB13" s="501"/>
      <c r="BFC13" s="501"/>
      <c r="BFD13" s="501"/>
      <c r="BFE13" s="501"/>
      <c r="BFF13" s="501"/>
      <c r="BFG13" s="501"/>
      <c r="BFH13" s="501"/>
      <c r="BFI13" s="501"/>
      <c r="BFJ13" s="501"/>
      <c r="BFK13" s="501"/>
      <c r="BFL13" s="501"/>
      <c r="BFM13" s="501"/>
      <c r="BFN13" s="501"/>
      <c r="BFO13" s="501"/>
      <c r="BFP13" s="501"/>
      <c r="BFQ13" s="501"/>
      <c r="BFR13" s="501"/>
      <c r="BFS13" s="501"/>
      <c r="BFT13" s="501"/>
      <c r="BFU13" s="501"/>
      <c r="BFV13" s="501"/>
      <c r="BFW13" s="501"/>
      <c r="BFX13" s="501"/>
      <c r="BFY13" s="501"/>
      <c r="BFZ13" s="501"/>
      <c r="BGA13" s="501"/>
      <c r="BGB13" s="501"/>
      <c r="BGC13" s="501"/>
      <c r="BGD13" s="501"/>
      <c r="BGE13" s="501"/>
      <c r="BGF13" s="501"/>
      <c r="BGG13" s="501"/>
      <c r="BGH13" s="501"/>
      <c r="BGI13" s="501"/>
      <c r="BGJ13" s="501"/>
      <c r="BGK13" s="501"/>
      <c r="BGL13" s="501"/>
      <c r="BGM13" s="501"/>
      <c r="BGN13" s="501"/>
      <c r="BGO13" s="501"/>
      <c r="BGP13" s="501"/>
      <c r="BGQ13" s="501"/>
      <c r="BGR13" s="501"/>
      <c r="BGS13" s="501"/>
      <c r="BGT13" s="501"/>
      <c r="BGU13" s="501"/>
      <c r="BGV13" s="501"/>
      <c r="BGW13" s="501"/>
      <c r="BGX13" s="501"/>
      <c r="BGY13" s="501"/>
      <c r="BGZ13" s="501"/>
      <c r="BHA13" s="501"/>
      <c r="BHB13" s="501"/>
      <c r="BHC13" s="501"/>
      <c r="BHD13" s="501"/>
      <c r="BHE13" s="501"/>
      <c r="BHF13" s="501"/>
      <c r="BHG13" s="501"/>
      <c r="BHH13" s="501"/>
      <c r="BHI13" s="501"/>
      <c r="BHJ13" s="501"/>
      <c r="BHK13" s="501"/>
      <c r="BHL13" s="501"/>
      <c r="BHM13" s="501"/>
      <c r="BHN13" s="501"/>
      <c r="BHO13" s="501"/>
      <c r="BHP13" s="501"/>
      <c r="BHQ13" s="501"/>
      <c r="BHR13" s="501"/>
      <c r="BHS13" s="501"/>
      <c r="BHT13" s="501"/>
      <c r="BHU13" s="501"/>
      <c r="BHV13" s="501"/>
      <c r="BHW13" s="501"/>
      <c r="BHX13" s="501"/>
      <c r="BHY13" s="501"/>
      <c r="BHZ13" s="501"/>
      <c r="BIA13" s="501"/>
      <c r="BIB13" s="501"/>
      <c r="BIC13" s="501"/>
      <c r="BID13" s="501"/>
      <c r="BIE13" s="501"/>
      <c r="BIF13" s="501"/>
      <c r="BIG13" s="501"/>
      <c r="BIH13" s="501"/>
      <c r="BII13" s="501"/>
      <c r="BIJ13" s="501"/>
      <c r="BIK13" s="501"/>
      <c r="BIL13" s="501"/>
      <c r="BIM13" s="501"/>
      <c r="BIN13" s="501"/>
      <c r="BIO13" s="501"/>
      <c r="BIP13" s="501"/>
      <c r="BIQ13" s="501"/>
      <c r="BIR13" s="501"/>
      <c r="BIS13" s="501"/>
      <c r="BIT13" s="501"/>
      <c r="BIU13" s="501"/>
      <c r="BIV13" s="501"/>
      <c r="BIW13" s="501"/>
      <c r="BIX13" s="501"/>
      <c r="BIY13" s="501"/>
      <c r="BIZ13" s="501"/>
      <c r="BJA13" s="501"/>
      <c r="BJB13" s="501"/>
      <c r="BJC13" s="501"/>
      <c r="BJD13" s="501"/>
      <c r="BJE13" s="501"/>
      <c r="BJF13" s="501"/>
      <c r="BJG13" s="501"/>
      <c r="BJH13" s="501"/>
      <c r="BJI13" s="501"/>
      <c r="BJJ13" s="501"/>
      <c r="BJK13" s="501"/>
      <c r="BJL13" s="501"/>
      <c r="BJM13" s="501"/>
      <c r="BJN13" s="501"/>
      <c r="BJO13" s="501"/>
      <c r="BJP13" s="501"/>
      <c r="BJQ13" s="501"/>
      <c r="BJR13" s="501"/>
      <c r="BJS13" s="501"/>
      <c r="BJT13" s="501"/>
      <c r="BJU13" s="501"/>
      <c r="BJV13" s="501"/>
      <c r="BJW13" s="501"/>
      <c r="BJX13" s="501"/>
      <c r="BJY13" s="501"/>
      <c r="BJZ13" s="501"/>
      <c r="BKA13" s="501"/>
      <c r="BKB13" s="501"/>
      <c r="BKC13" s="501"/>
      <c r="BKD13" s="501"/>
      <c r="BKE13" s="501"/>
      <c r="BKF13" s="501"/>
      <c r="BKG13" s="501"/>
      <c r="BKH13" s="501"/>
      <c r="BKI13" s="501"/>
      <c r="BKJ13" s="501"/>
      <c r="BKK13" s="501"/>
      <c r="BKL13" s="501"/>
      <c r="BKM13" s="501"/>
      <c r="BKN13" s="501"/>
      <c r="BKO13" s="501"/>
      <c r="BKP13" s="501"/>
      <c r="BKQ13" s="501"/>
      <c r="BKR13" s="501"/>
      <c r="BKS13" s="501"/>
      <c r="BKT13" s="501"/>
      <c r="BKU13" s="501"/>
      <c r="BKV13" s="501"/>
      <c r="BKW13" s="501"/>
      <c r="BKX13" s="501"/>
      <c r="BKY13" s="501"/>
      <c r="BKZ13" s="501"/>
      <c r="BLA13" s="501"/>
      <c r="BLB13" s="501"/>
      <c r="BLC13" s="501"/>
      <c r="BLD13" s="501"/>
      <c r="BLE13" s="501"/>
      <c r="BLF13" s="501"/>
      <c r="BLG13" s="501"/>
      <c r="BLH13" s="501"/>
      <c r="BLI13" s="501"/>
      <c r="BLJ13" s="501"/>
      <c r="BLK13" s="501"/>
      <c r="BLL13" s="501"/>
      <c r="BLM13" s="501"/>
      <c r="BLN13" s="501"/>
      <c r="BLO13" s="501"/>
      <c r="BLP13" s="501"/>
      <c r="BLQ13" s="501"/>
      <c r="BLR13" s="501"/>
      <c r="BLS13" s="501"/>
      <c r="BLT13" s="501"/>
      <c r="BLU13" s="501"/>
      <c r="BLV13" s="501"/>
      <c r="BLW13" s="501"/>
      <c r="BLX13" s="501"/>
      <c r="BLY13" s="501"/>
      <c r="BLZ13" s="501"/>
      <c r="BMA13" s="501"/>
      <c r="BMB13" s="501"/>
      <c r="BMC13" s="501"/>
      <c r="BMD13" s="501"/>
      <c r="BME13" s="501"/>
      <c r="BMF13" s="501"/>
      <c r="BMG13" s="501"/>
      <c r="BMH13" s="501"/>
      <c r="BMI13" s="501"/>
      <c r="BMJ13" s="501"/>
      <c r="BMK13" s="501"/>
      <c r="BML13" s="501"/>
      <c r="BMM13" s="501"/>
      <c r="BMN13" s="501"/>
      <c r="BMO13" s="501"/>
      <c r="BMP13" s="501"/>
      <c r="BMQ13" s="501"/>
      <c r="BMR13" s="501"/>
      <c r="BMS13" s="501"/>
      <c r="BMT13" s="501"/>
      <c r="BMU13" s="501"/>
      <c r="BMV13" s="501"/>
      <c r="BMW13" s="501"/>
      <c r="BMX13" s="501"/>
      <c r="BMY13" s="501"/>
      <c r="BMZ13" s="501"/>
      <c r="BNA13" s="501"/>
      <c r="BNB13" s="501"/>
      <c r="BNC13" s="501"/>
      <c r="BND13" s="501"/>
      <c r="BNE13" s="501"/>
      <c r="BNF13" s="501"/>
      <c r="BNG13" s="501"/>
      <c r="BNH13" s="501"/>
      <c r="BNI13" s="501"/>
      <c r="BNJ13" s="501"/>
      <c r="BNK13" s="501"/>
      <c r="BNL13" s="501"/>
      <c r="BNM13" s="501"/>
      <c r="BNN13" s="501"/>
      <c r="BNO13" s="501"/>
      <c r="BNP13" s="501"/>
      <c r="BNQ13" s="501"/>
      <c r="BNR13" s="501"/>
      <c r="BNS13" s="501"/>
      <c r="BNT13" s="501"/>
      <c r="BNU13" s="501"/>
      <c r="BNV13" s="501"/>
      <c r="BNW13" s="501"/>
      <c r="BNX13" s="501"/>
      <c r="BNY13" s="501"/>
      <c r="BNZ13" s="501"/>
      <c r="BOA13" s="501"/>
      <c r="BOB13" s="501"/>
      <c r="BOC13" s="501"/>
      <c r="BOD13" s="501"/>
      <c r="BOE13" s="501"/>
      <c r="BOF13" s="501"/>
      <c r="BOG13" s="501"/>
      <c r="BOH13" s="501"/>
      <c r="BOI13" s="501"/>
      <c r="BOJ13" s="501"/>
      <c r="BOK13" s="501"/>
      <c r="BOL13" s="501"/>
      <c r="BOM13" s="501"/>
      <c r="BON13" s="501"/>
      <c r="BOO13" s="501"/>
      <c r="BOP13" s="501"/>
      <c r="BOQ13" s="501"/>
      <c r="BOR13" s="501"/>
      <c r="BOS13" s="501"/>
      <c r="BOT13" s="501"/>
      <c r="BOU13" s="501"/>
      <c r="BOV13" s="501"/>
      <c r="BOW13" s="501"/>
      <c r="BOX13" s="501"/>
      <c r="BOY13" s="501"/>
      <c r="BOZ13" s="501"/>
      <c r="BPA13" s="501"/>
      <c r="BPB13" s="501"/>
      <c r="BPC13" s="501"/>
      <c r="BPD13" s="501"/>
      <c r="BPE13" s="501"/>
      <c r="BPF13" s="501"/>
      <c r="BPG13" s="501"/>
      <c r="BPH13" s="501"/>
      <c r="BPI13" s="501"/>
      <c r="BPJ13" s="501"/>
      <c r="BPK13" s="501"/>
      <c r="BPL13" s="501"/>
      <c r="BPM13" s="501"/>
      <c r="BPN13" s="501"/>
      <c r="BPO13" s="501"/>
      <c r="BPP13" s="501"/>
      <c r="BPQ13" s="501"/>
      <c r="BPR13" s="501"/>
      <c r="BPS13" s="501"/>
      <c r="BPT13" s="501"/>
      <c r="BPU13" s="501"/>
      <c r="BPV13" s="501"/>
      <c r="BPW13" s="501"/>
      <c r="BPX13" s="501"/>
      <c r="BPY13" s="501"/>
      <c r="BPZ13" s="501"/>
      <c r="BQA13" s="501"/>
      <c r="BQB13" s="501"/>
      <c r="BQC13" s="501"/>
      <c r="BQD13" s="501"/>
      <c r="BQE13" s="501"/>
      <c r="BQF13" s="501"/>
      <c r="BQG13" s="501"/>
      <c r="BQH13" s="501"/>
      <c r="BQI13" s="501"/>
      <c r="BQJ13" s="501"/>
      <c r="BQK13" s="501"/>
      <c r="BQL13" s="501"/>
      <c r="BQM13" s="501"/>
      <c r="BQN13" s="501"/>
      <c r="BQO13" s="501"/>
      <c r="BQP13" s="501"/>
      <c r="BQQ13" s="501"/>
      <c r="BQR13" s="501"/>
      <c r="BQS13" s="501"/>
      <c r="BQT13" s="501"/>
      <c r="BQU13" s="501"/>
      <c r="BQV13" s="501"/>
      <c r="BQW13" s="501"/>
      <c r="BQX13" s="501"/>
      <c r="BQY13" s="501"/>
      <c r="BQZ13" s="501"/>
      <c r="BRA13" s="501"/>
      <c r="BRB13" s="501"/>
      <c r="BRC13" s="501"/>
      <c r="BRD13" s="501"/>
      <c r="BRE13" s="501"/>
      <c r="BRF13" s="501"/>
      <c r="BRG13" s="501"/>
      <c r="BRH13" s="501"/>
      <c r="BRI13" s="501"/>
      <c r="BRJ13" s="501"/>
      <c r="BRK13" s="501"/>
      <c r="BRL13" s="501"/>
      <c r="BRM13" s="501"/>
      <c r="BRN13" s="501"/>
      <c r="BRO13" s="501"/>
      <c r="BRP13" s="501"/>
      <c r="BRQ13" s="501"/>
      <c r="BRR13" s="501"/>
      <c r="BRS13" s="501"/>
      <c r="BRT13" s="501"/>
      <c r="BRU13" s="501"/>
      <c r="BRV13" s="501"/>
      <c r="BRW13" s="501"/>
      <c r="BRX13" s="501"/>
      <c r="BRY13" s="501"/>
      <c r="BRZ13" s="501"/>
      <c r="BSA13" s="501"/>
      <c r="BSB13" s="501"/>
      <c r="BSC13" s="501"/>
    </row>
    <row r="14" spans="1:1849" ht="17.25" customHeight="1" x14ac:dyDescent="0.2">
      <c r="A14" s="412">
        <v>13</v>
      </c>
      <c r="B14" s="172" t="s">
        <v>25</v>
      </c>
      <c r="C14" s="685" t="s">
        <v>427</v>
      </c>
      <c r="D14" s="172" t="s">
        <v>26</v>
      </c>
      <c r="E14" s="172" t="s">
        <v>27</v>
      </c>
      <c r="F14" s="170">
        <v>40</v>
      </c>
      <c r="G14" s="170">
        <v>30</v>
      </c>
      <c r="H14" s="170">
        <v>40</v>
      </c>
      <c r="I14" s="170">
        <v>30</v>
      </c>
      <c r="J14" s="172">
        <v>1</v>
      </c>
      <c r="K14" s="172">
        <f t="shared" si="0"/>
        <v>1200</v>
      </c>
      <c r="L14" s="172" t="s">
        <v>28</v>
      </c>
      <c r="M14" s="170" t="s">
        <v>259</v>
      </c>
      <c r="N14" s="190" t="s">
        <v>31</v>
      </c>
      <c r="O14" s="172">
        <v>79.060732999999999</v>
      </c>
      <c r="P14" s="266">
        <v>100000</v>
      </c>
      <c r="Q14" s="170">
        <v>125000</v>
      </c>
      <c r="R14" s="170">
        <v>165000</v>
      </c>
      <c r="ADT14" s="167"/>
    </row>
    <row r="15" spans="1:1849" s="502" customFormat="1" ht="15" x14ac:dyDescent="0.2">
      <c r="A15" s="503">
        <v>14</v>
      </c>
      <c r="B15" s="504" t="s">
        <v>25</v>
      </c>
      <c r="C15" s="548" t="s">
        <v>428</v>
      </c>
      <c r="D15" s="504" t="s">
        <v>26</v>
      </c>
      <c r="E15" s="504" t="s">
        <v>27</v>
      </c>
      <c r="F15" s="504">
        <v>40</v>
      </c>
      <c r="G15" s="504">
        <v>20</v>
      </c>
      <c r="H15" s="504">
        <v>61</v>
      </c>
      <c r="I15" s="504">
        <v>20</v>
      </c>
      <c r="J15" s="504">
        <v>1</v>
      </c>
      <c r="K15" s="504">
        <f t="shared" si="0"/>
        <v>800</v>
      </c>
      <c r="L15" s="504" t="s">
        <v>28</v>
      </c>
      <c r="M15" s="511" t="s">
        <v>261</v>
      </c>
      <c r="N15" s="510" t="s">
        <v>32</v>
      </c>
      <c r="O15" s="504">
        <v>79.074205000000006</v>
      </c>
      <c r="P15" s="506">
        <v>70000</v>
      </c>
      <c r="Q15" s="505">
        <v>90000</v>
      </c>
      <c r="R15" s="505">
        <v>130000</v>
      </c>
      <c r="S15" s="501"/>
      <c r="T15" s="501"/>
      <c r="U15" s="501"/>
      <c r="V15" s="501"/>
      <c r="W15" s="501"/>
      <c r="X15" s="501"/>
      <c r="Y15" s="501"/>
      <c r="Z15" s="501"/>
      <c r="AA15" s="501"/>
      <c r="AB15" s="501"/>
      <c r="AC15" s="501"/>
      <c r="AD15" s="501"/>
      <c r="AE15" s="501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1"/>
      <c r="AR15" s="501"/>
      <c r="AS15" s="501"/>
      <c r="AT15" s="501"/>
      <c r="AU15" s="501"/>
      <c r="AV15" s="501"/>
      <c r="AW15" s="501"/>
      <c r="AX15" s="501"/>
      <c r="AY15" s="501"/>
      <c r="AZ15" s="501"/>
      <c r="BA15" s="501"/>
      <c r="BB15" s="501"/>
      <c r="BC15" s="501"/>
      <c r="BD15" s="501"/>
      <c r="BE15" s="501"/>
      <c r="BF15" s="501"/>
      <c r="BG15" s="501"/>
      <c r="BH15" s="501"/>
      <c r="BI15" s="501"/>
      <c r="BJ15" s="501"/>
      <c r="BK15" s="501"/>
      <c r="BL15" s="501"/>
      <c r="BM15" s="501"/>
      <c r="BN15" s="501"/>
      <c r="BO15" s="501"/>
      <c r="BP15" s="501"/>
      <c r="BQ15" s="501"/>
      <c r="BR15" s="501"/>
      <c r="BS15" s="501"/>
      <c r="BT15" s="501"/>
      <c r="BU15" s="501"/>
      <c r="BV15" s="501"/>
      <c r="BW15" s="501"/>
      <c r="BX15" s="501"/>
      <c r="BY15" s="501"/>
      <c r="BZ15" s="501"/>
      <c r="CA15" s="501"/>
      <c r="CB15" s="501"/>
      <c r="CC15" s="501"/>
      <c r="CD15" s="501"/>
      <c r="CE15" s="501"/>
      <c r="CF15" s="501"/>
      <c r="CG15" s="501"/>
      <c r="CH15" s="501"/>
      <c r="CI15" s="501"/>
      <c r="CJ15" s="501"/>
      <c r="CK15" s="501"/>
      <c r="CL15" s="501"/>
      <c r="CM15" s="501"/>
      <c r="CN15" s="501"/>
      <c r="CO15" s="501"/>
      <c r="CP15" s="501"/>
      <c r="CQ15" s="501"/>
      <c r="CR15" s="501"/>
      <c r="CS15" s="501"/>
      <c r="CT15" s="501"/>
      <c r="CU15" s="501"/>
      <c r="CV15" s="501"/>
      <c r="CW15" s="501"/>
      <c r="CX15" s="501"/>
      <c r="CY15" s="501"/>
      <c r="CZ15" s="501"/>
      <c r="DA15" s="501"/>
      <c r="DB15" s="501"/>
      <c r="DC15" s="501"/>
      <c r="DD15" s="501"/>
      <c r="DE15" s="501"/>
      <c r="DF15" s="501"/>
      <c r="DG15" s="501"/>
      <c r="DH15" s="501"/>
      <c r="DI15" s="501"/>
      <c r="DJ15" s="501"/>
      <c r="DK15" s="501"/>
      <c r="DL15" s="501"/>
      <c r="DM15" s="501"/>
      <c r="DN15" s="501"/>
      <c r="DO15" s="501"/>
      <c r="DP15" s="501"/>
      <c r="DQ15" s="501"/>
      <c r="DR15" s="501"/>
      <c r="DS15" s="501"/>
      <c r="DT15" s="501"/>
      <c r="DU15" s="501"/>
      <c r="DV15" s="501"/>
      <c r="DW15" s="501"/>
      <c r="DX15" s="501"/>
      <c r="DY15" s="501"/>
      <c r="DZ15" s="501"/>
      <c r="EA15" s="501"/>
      <c r="EB15" s="501"/>
      <c r="EC15" s="501"/>
      <c r="ED15" s="501"/>
      <c r="EE15" s="501"/>
      <c r="EF15" s="501"/>
      <c r="EG15" s="501"/>
      <c r="EH15" s="501"/>
      <c r="EI15" s="501"/>
      <c r="EJ15" s="501"/>
      <c r="EK15" s="501"/>
      <c r="EL15" s="501"/>
      <c r="EM15" s="501"/>
      <c r="EN15" s="501"/>
      <c r="EO15" s="501"/>
      <c r="EP15" s="501"/>
      <c r="EQ15" s="501"/>
      <c r="ER15" s="501"/>
      <c r="ES15" s="501"/>
      <c r="ET15" s="501"/>
      <c r="EU15" s="501"/>
      <c r="EV15" s="501"/>
      <c r="EW15" s="501"/>
      <c r="EX15" s="501"/>
      <c r="EY15" s="501"/>
      <c r="EZ15" s="501"/>
      <c r="FA15" s="501"/>
      <c r="FB15" s="501"/>
      <c r="FC15" s="501"/>
      <c r="FD15" s="501"/>
      <c r="FE15" s="501"/>
      <c r="FF15" s="501"/>
      <c r="FG15" s="501"/>
      <c r="FH15" s="501"/>
      <c r="FI15" s="501"/>
      <c r="FJ15" s="501"/>
      <c r="FK15" s="501"/>
      <c r="FL15" s="501"/>
      <c r="FM15" s="501"/>
      <c r="FN15" s="501"/>
      <c r="FO15" s="501"/>
      <c r="FP15" s="501"/>
      <c r="FQ15" s="501"/>
      <c r="FR15" s="501"/>
      <c r="FS15" s="501"/>
      <c r="FT15" s="501"/>
      <c r="FU15" s="501"/>
      <c r="FV15" s="501"/>
      <c r="FW15" s="501"/>
      <c r="FX15" s="501"/>
      <c r="FY15" s="501"/>
      <c r="FZ15" s="501"/>
      <c r="GA15" s="501"/>
      <c r="GB15" s="501"/>
      <c r="GC15" s="501"/>
      <c r="GD15" s="501"/>
      <c r="GE15" s="501"/>
      <c r="GF15" s="501"/>
      <c r="GG15" s="501"/>
      <c r="GH15" s="501"/>
      <c r="GI15" s="501"/>
      <c r="GJ15" s="501"/>
      <c r="GK15" s="501"/>
      <c r="GL15" s="501"/>
      <c r="GM15" s="501"/>
      <c r="GN15" s="501"/>
      <c r="GO15" s="501"/>
      <c r="GP15" s="501"/>
      <c r="GQ15" s="501"/>
      <c r="GR15" s="501"/>
      <c r="GS15" s="501"/>
      <c r="GT15" s="501"/>
      <c r="GU15" s="501"/>
      <c r="GV15" s="501"/>
      <c r="GW15" s="501"/>
      <c r="GX15" s="501"/>
      <c r="GY15" s="501"/>
      <c r="GZ15" s="501"/>
      <c r="HA15" s="501"/>
      <c r="HB15" s="501"/>
      <c r="HC15" s="501"/>
      <c r="HD15" s="501"/>
      <c r="HE15" s="501"/>
      <c r="HF15" s="501"/>
      <c r="HG15" s="501"/>
      <c r="HH15" s="501"/>
      <c r="HI15" s="501"/>
      <c r="HJ15" s="501"/>
      <c r="HK15" s="501"/>
      <c r="HL15" s="501"/>
      <c r="HM15" s="501"/>
      <c r="HN15" s="501"/>
      <c r="HO15" s="501"/>
      <c r="HP15" s="501"/>
      <c r="HQ15" s="501"/>
      <c r="HR15" s="501"/>
      <c r="HS15" s="501"/>
      <c r="HT15" s="501"/>
      <c r="HU15" s="501"/>
      <c r="HV15" s="501"/>
      <c r="HW15" s="501"/>
      <c r="HX15" s="501"/>
      <c r="HY15" s="501"/>
      <c r="HZ15" s="501"/>
      <c r="IA15" s="501"/>
      <c r="IB15" s="501"/>
      <c r="IC15" s="501"/>
      <c r="ID15" s="501"/>
      <c r="IE15" s="501"/>
      <c r="IF15" s="501"/>
      <c r="IG15" s="501"/>
      <c r="IH15" s="501"/>
      <c r="II15" s="501"/>
      <c r="IJ15" s="501"/>
      <c r="IK15" s="501"/>
      <c r="IL15" s="501"/>
      <c r="IM15" s="501"/>
      <c r="IN15" s="501"/>
      <c r="IO15" s="501"/>
      <c r="IP15" s="501"/>
      <c r="IQ15" s="501"/>
      <c r="IR15" s="501"/>
      <c r="IS15" s="501"/>
      <c r="IT15" s="501"/>
      <c r="IU15" s="501"/>
      <c r="IV15" s="501"/>
      <c r="IW15" s="501"/>
      <c r="IX15" s="501"/>
      <c r="IY15" s="501"/>
      <c r="IZ15" s="501"/>
      <c r="JA15" s="501"/>
      <c r="JB15" s="501"/>
      <c r="JC15" s="501"/>
      <c r="JD15" s="501"/>
      <c r="JE15" s="501"/>
      <c r="JF15" s="501"/>
      <c r="JG15" s="501"/>
      <c r="JH15" s="501"/>
      <c r="JI15" s="501"/>
      <c r="JJ15" s="501"/>
      <c r="JK15" s="501"/>
      <c r="JL15" s="501"/>
      <c r="JM15" s="501"/>
      <c r="JN15" s="501"/>
      <c r="JO15" s="501"/>
      <c r="JP15" s="501"/>
      <c r="JQ15" s="501"/>
      <c r="JR15" s="501"/>
      <c r="JS15" s="501"/>
      <c r="JT15" s="501"/>
      <c r="JU15" s="501"/>
      <c r="JV15" s="501"/>
      <c r="JW15" s="501"/>
      <c r="JX15" s="501"/>
      <c r="JY15" s="501"/>
      <c r="JZ15" s="501"/>
      <c r="KA15" s="501"/>
      <c r="KB15" s="501"/>
      <c r="KC15" s="501"/>
      <c r="KD15" s="501"/>
      <c r="KE15" s="501"/>
      <c r="KF15" s="501"/>
      <c r="KG15" s="501"/>
      <c r="KH15" s="501"/>
      <c r="KI15" s="501"/>
      <c r="KJ15" s="501"/>
      <c r="KK15" s="501"/>
      <c r="KL15" s="501"/>
      <c r="KM15" s="501"/>
      <c r="KN15" s="501"/>
      <c r="KO15" s="501"/>
      <c r="KP15" s="501"/>
      <c r="KQ15" s="501"/>
      <c r="KR15" s="501"/>
      <c r="KS15" s="501"/>
      <c r="KT15" s="501"/>
      <c r="KU15" s="501"/>
      <c r="KV15" s="501"/>
      <c r="KW15" s="501"/>
      <c r="KX15" s="501"/>
      <c r="KY15" s="501"/>
      <c r="KZ15" s="501"/>
      <c r="LA15" s="501"/>
      <c r="LB15" s="501"/>
      <c r="LC15" s="501"/>
      <c r="LD15" s="501"/>
      <c r="LE15" s="501"/>
      <c r="LF15" s="501"/>
      <c r="LG15" s="501"/>
      <c r="LH15" s="501"/>
      <c r="LI15" s="501"/>
      <c r="LJ15" s="501"/>
      <c r="LK15" s="501"/>
      <c r="LL15" s="501"/>
      <c r="LM15" s="501"/>
      <c r="LN15" s="501"/>
      <c r="LO15" s="501"/>
      <c r="LP15" s="501"/>
      <c r="LQ15" s="501"/>
      <c r="LR15" s="501"/>
      <c r="LS15" s="501"/>
      <c r="LT15" s="501"/>
      <c r="LU15" s="501"/>
      <c r="LV15" s="501"/>
      <c r="LW15" s="501"/>
      <c r="LX15" s="501"/>
      <c r="LY15" s="501"/>
      <c r="LZ15" s="501"/>
      <c r="MA15" s="501"/>
      <c r="MB15" s="501"/>
      <c r="MC15" s="501"/>
      <c r="MD15" s="501"/>
      <c r="ME15" s="501"/>
      <c r="MF15" s="501"/>
      <c r="MG15" s="501"/>
      <c r="MH15" s="501"/>
      <c r="MI15" s="501"/>
      <c r="MJ15" s="501"/>
      <c r="MK15" s="501"/>
      <c r="ML15" s="501"/>
      <c r="MM15" s="501"/>
      <c r="MN15" s="501"/>
      <c r="MO15" s="501"/>
      <c r="MP15" s="501"/>
      <c r="MQ15" s="501"/>
      <c r="MR15" s="501"/>
      <c r="MS15" s="501"/>
      <c r="MT15" s="501"/>
      <c r="MU15" s="501"/>
      <c r="MV15" s="501"/>
      <c r="MW15" s="501"/>
      <c r="MX15" s="501"/>
      <c r="MY15" s="501"/>
      <c r="MZ15" s="501"/>
      <c r="NA15" s="501"/>
      <c r="NB15" s="501"/>
      <c r="NC15" s="501"/>
      <c r="ND15" s="501"/>
      <c r="NE15" s="501"/>
      <c r="NF15" s="501"/>
      <c r="NG15" s="501"/>
      <c r="NH15" s="501"/>
      <c r="NI15" s="501"/>
      <c r="NJ15" s="501"/>
      <c r="NK15" s="501"/>
      <c r="NL15" s="501"/>
      <c r="NM15" s="501"/>
      <c r="NN15" s="501"/>
      <c r="NO15" s="501"/>
      <c r="NP15" s="501"/>
      <c r="NQ15" s="501"/>
      <c r="NR15" s="501"/>
      <c r="NS15" s="501"/>
      <c r="NT15" s="501"/>
      <c r="NU15" s="501"/>
      <c r="NV15" s="501"/>
      <c r="NW15" s="501"/>
      <c r="NX15" s="501"/>
      <c r="NY15" s="501"/>
      <c r="NZ15" s="501"/>
      <c r="OA15" s="501"/>
      <c r="OB15" s="501"/>
      <c r="OC15" s="501"/>
      <c r="OD15" s="501"/>
      <c r="OE15" s="501"/>
      <c r="OF15" s="501"/>
      <c r="OG15" s="501"/>
      <c r="OH15" s="501"/>
      <c r="OI15" s="501"/>
      <c r="OJ15" s="501"/>
      <c r="OK15" s="501"/>
      <c r="OL15" s="501"/>
      <c r="OM15" s="501"/>
      <c r="ON15" s="501"/>
      <c r="OO15" s="501"/>
      <c r="OP15" s="501"/>
      <c r="OQ15" s="501"/>
      <c r="OR15" s="501"/>
      <c r="OS15" s="501"/>
      <c r="OT15" s="501"/>
      <c r="OU15" s="501"/>
      <c r="OV15" s="501"/>
      <c r="OW15" s="501"/>
      <c r="OX15" s="501"/>
      <c r="OY15" s="501"/>
      <c r="OZ15" s="501"/>
      <c r="PA15" s="501"/>
      <c r="PB15" s="501"/>
      <c r="PC15" s="501"/>
      <c r="PD15" s="501"/>
      <c r="PE15" s="501"/>
      <c r="PF15" s="501"/>
      <c r="PG15" s="501"/>
      <c r="PH15" s="501"/>
      <c r="PI15" s="501"/>
      <c r="PJ15" s="501"/>
      <c r="PK15" s="501"/>
      <c r="PL15" s="501"/>
      <c r="PM15" s="501"/>
      <c r="PN15" s="501"/>
      <c r="PO15" s="501"/>
      <c r="PP15" s="501"/>
      <c r="PQ15" s="501"/>
      <c r="PR15" s="501"/>
      <c r="PS15" s="501"/>
      <c r="PT15" s="501"/>
      <c r="PU15" s="501"/>
      <c r="PV15" s="501"/>
      <c r="PW15" s="501"/>
      <c r="PX15" s="501"/>
      <c r="PY15" s="501"/>
      <c r="PZ15" s="501"/>
      <c r="QA15" s="501"/>
      <c r="QB15" s="501"/>
      <c r="QC15" s="501"/>
      <c r="QD15" s="501"/>
      <c r="QE15" s="501"/>
      <c r="QF15" s="501"/>
      <c r="QG15" s="501"/>
      <c r="QH15" s="501"/>
      <c r="QI15" s="501"/>
      <c r="QJ15" s="501"/>
      <c r="QK15" s="501"/>
      <c r="QL15" s="501"/>
      <c r="QM15" s="501"/>
      <c r="QN15" s="501"/>
      <c r="QO15" s="501"/>
      <c r="QP15" s="501"/>
      <c r="QQ15" s="501"/>
      <c r="QR15" s="501"/>
      <c r="QS15" s="501"/>
      <c r="QT15" s="501"/>
      <c r="QU15" s="501"/>
      <c r="QV15" s="501"/>
      <c r="QW15" s="501"/>
      <c r="QX15" s="501"/>
      <c r="QY15" s="501"/>
      <c r="QZ15" s="501"/>
      <c r="RA15" s="501"/>
      <c r="RB15" s="501"/>
      <c r="RC15" s="501"/>
      <c r="RD15" s="501"/>
      <c r="RE15" s="501"/>
      <c r="RF15" s="501"/>
      <c r="RG15" s="501"/>
      <c r="RH15" s="501"/>
      <c r="RI15" s="501"/>
      <c r="RJ15" s="501"/>
      <c r="RK15" s="501"/>
      <c r="RL15" s="501"/>
      <c r="RM15" s="501"/>
      <c r="RN15" s="501"/>
      <c r="RO15" s="501"/>
      <c r="RP15" s="501"/>
      <c r="RQ15" s="501"/>
      <c r="RR15" s="501"/>
      <c r="RS15" s="501"/>
      <c r="RT15" s="501"/>
      <c r="RU15" s="501"/>
      <c r="RV15" s="501"/>
      <c r="RW15" s="501"/>
      <c r="RX15" s="501"/>
      <c r="RY15" s="501"/>
      <c r="RZ15" s="501"/>
      <c r="SA15" s="501"/>
      <c r="SB15" s="501"/>
      <c r="SC15" s="501"/>
      <c r="SD15" s="501"/>
      <c r="SE15" s="501"/>
      <c r="SF15" s="501"/>
      <c r="SG15" s="501"/>
      <c r="SH15" s="501"/>
      <c r="SI15" s="501"/>
      <c r="SJ15" s="501"/>
      <c r="SK15" s="501"/>
      <c r="SL15" s="501"/>
      <c r="SM15" s="501"/>
      <c r="SN15" s="501"/>
      <c r="SO15" s="501"/>
      <c r="SP15" s="501"/>
      <c r="SQ15" s="501"/>
      <c r="SR15" s="501"/>
      <c r="SS15" s="501"/>
      <c r="ST15" s="501"/>
      <c r="SU15" s="501"/>
      <c r="SV15" s="501"/>
      <c r="SW15" s="501"/>
      <c r="SX15" s="501"/>
      <c r="SY15" s="501"/>
      <c r="SZ15" s="501"/>
      <c r="TA15" s="501"/>
      <c r="TB15" s="501"/>
      <c r="TC15" s="501"/>
      <c r="TD15" s="501"/>
      <c r="TE15" s="501"/>
      <c r="TF15" s="501"/>
      <c r="TG15" s="501"/>
      <c r="TH15" s="501"/>
      <c r="TI15" s="501"/>
      <c r="TJ15" s="501"/>
      <c r="TK15" s="501"/>
      <c r="TL15" s="501"/>
      <c r="TM15" s="501"/>
      <c r="TN15" s="501"/>
      <c r="TO15" s="501"/>
      <c r="TP15" s="501"/>
      <c r="TQ15" s="501"/>
      <c r="TR15" s="501"/>
      <c r="TS15" s="501"/>
      <c r="TT15" s="501"/>
      <c r="TU15" s="501"/>
      <c r="TV15" s="501"/>
      <c r="TW15" s="501"/>
      <c r="TX15" s="501"/>
      <c r="TY15" s="501"/>
      <c r="TZ15" s="501"/>
      <c r="UA15" s="501"/>
      <c r="UB15" s="501"/>
      <c r="UC15" s="501"/>
      <c r="UD15" s="501"/>
      <c r="UE15" s="501"/>
      <c r="UF15" s="501"/>
      <c r="UG15" s="501"/>
      <c r="UH15" s="501"/>
      <c r="UI15" s="501"/>
      <c r="UJ15" s="501"/>
      <c r="UK15" s="501"/>
      <c r="UL15" s="501"/>
      <c r="UM15" s="501"/>
      <c r="UN15" s="501"/>
      <c r="UO15" s="501"/>
      <c r="UP15" s="501"/>
      <c r="UQ15" s="501"/>
      <c r="UR15" s="501"/>
      <c r="US15" s="501"/>
      <c r="UT15" s="501"/>
      <c r="UU15" s="501"/>
      <c r="UV15" s="501"/>
      <c r="UW15" s="501"/>
      <c r="UX15" s="501"/>
      <c r="UY15" s="501"/>
      <c r="UZ15" s="501"/>
      <c r="VA15" s="501"/>
      <c r="VB15" s="501"/>
      <c r="VC15" s="501"/>
      <c r="VD15" s="501"/>
      <c r="VE15" s="501"/>
      <c r="VF15" s="501"/>
      <c r="VG15" s="501"/>
      <c r="VH15" s="501"/>
      <c r="VI15" s="501"/>
      <c r="VJ15" s="501"/>
      <c r="VK15" s="501"/>
      <c r="VL15" s="501"/>
      <c r="VM15" s="501"/>
      <c r="VN15" s="501"/>
      <c r="VO15" s="501"/>
      <c r="VP15" s="501"/>
      <c r="VQ15" s="501"/>
      <c r="VR15" s="501"/>
      <c r="VS15" s="501"/>
      <c r="VT15" s="501"/>
      <c r="VU15" s="501"/>
      <c r="VV15" s="501"/>
      <c r="VW15" s="501"/>
      <c r="VX15" s="501"/>
      <c r="VY15" s="501"/>
      <c r="VZ15" s="501"/>
      <c r="WA15" s="501"/>
      <c r="WB15" s="501"/>
      <c r="WC15" s="501"/>
      <c r="WD15" s="501"/>
      <c r="WE15" s="501"/>
      <c r="WF15" s="501"/>
      <c r="WG15" s="501"/>
      <c r="WH15" s="501"/>
      <c r="WI15" s="501"/>
      <c r="WJ15" s="501"/>
      <c r="WK15" s="501"/>
      <c r="WL15" s="501"/>
      <c r="WM15" s="501"/>
      <c r="WN15" s="501"/>
      <c r="WO15" s="501"/>
      <c r="WP15" s="501"/>
      <c r="WQ15" s="501"/>
      <c r="WR15" s="501"/>
      <c r="WS15" s="501"/>
      <c r="WT15" s="501"/>
      <c r="WU15" s="501"/>
      <c r="WV15" s="501"/>
      <c r="WW15" s="501"/>
      <c r="WX15" s="501"/>
      <c r="WY15" s="501"/>
      <c r="WZ15" s="501"/>
      <c r="XA15" s="501"/>
      <c r="XB15" s="501"/>
      <c r="XC15" s="501"/>
      <c r="XD15" s="501"/>
      <c r="XE15" s="501"/>
      <c r="XF15" s="501"/>
      <c r="XG15" s="501"/>
      <c r="XH15" s="501"/>
      <c r="XI15" s="501"/>
      <c r="XJ15" s="501"/>
      <c r="XK15" s="501"/>
      <c r="XL15" s="501"/>
      <c r="XM15" s="501"/>
      <c r="XN15" s="501"/>
      <c r="XO15" s="501"/>
      <c r="XP15" s="501"/>
      <c r="XQ15" s="501"/>
      <c r="XR15" s="501"/>
      <c r="XS15" s="501"/>
      <c r="XT15" s="501"/>
      <c r="XU15" s="501"/>
      <c r="XV15" s="501"/>
      <c r="XW15" s="501"/>
      <c r="XX15" s="501"/>
      <c r="XY15" s="501"/>
      <c r="XZ15" s="501"/>
      <c r="YA15" s="501"/>
      <c r="YB15" s="501"/>
      <c r="YC15" s="501"/>
      <c r="YD15" s="501"/>
      <c r="YE15" s="501"/>
      <c r="YF15" s="501"/>
      <c r="YG15" s="501"/>
      <c r="YH15" s="501"/>
      <c r="YI15" s="501"/>
      <c r="YJ15" s="501"/>
      <c r="YK15" s="501"/>
      <c r="YL15" s="501"/>
      <c r="YM15" s="501"/>
      <c r="YN15" s="501"/>
      <c r="YO15" s="501"/>
      <c r="YP15" s="501"/>
      <c r="YQ15" s="501"/>
      <c r="YR15" s="501"/>
      <c r="YS15" s="501"/>
      <c r="YT15" s="501"/>
      <c r="YU15" s="501"/>
      <c r="YV15" s="501"/>
      <c r="YW15" s="501"/>
      <c r="YX15" s="501"/>
      <c r="YY15" s="501"/>
      <c r="YZ15" s="501"/>
      <c r="ZA15" s="501"/>
      <c r="ZB15" s="501"/>
      <c r="ZC15" s="501"/>
      <c r="ZD15" s="501"/>
      <c r="ZE15" s="501"/>
      <c r="ZF15" s="501"/>
      <c r="ZG15" s="501"/>
      <c r="ZH15" s="501"/>
      <c r="ZI15" s="501"/>
      <c r="ZJ15" s="501"/>
      <c r="ZK15" s="501"/>
      <c r="ZL15" s="501"/>
      <c r="ZM15" s="501"/>
      <c r="ZN15" s="501"/>
      <c r="ZO15" s="501"/>
      <c r="ZP15" s="501"/>
      <c r="ZQ15" s="501"/>
      <c r="ZR15" s="501"/>
      <c r="ZS15" s="501"/>
      <c r="ZT15" s="501"/>
      <c r="ZU15" s="501"/>
      <c r="ZV15" s="501"/>
      <c r="ZW15" s="501"/>
      <c r="ZX15" s="501"/>
      <c r="ZY15" s="501"/>
      <c r="ZZ15" s="501"/>
      <c r="AAA15" s="501"/>
      <c r="AAB15" s="501"/>
      <c r="AAC15" s="501"/>
      <c r="AAD15" s="501"/>
      <c r="AAE15" s="501"/>
      <c r="AAF15" s="501"/>
      <c r="AAG15" s="501"/>
      <c r="AAH15" s="501"/>
      <c r="AAI15" s="501"/>
      <c r="AAJ15" s="501"/>
      <c r="AAK15" s="501"/>
      <c r="AAL15" s="501"/>
      <c r="AAM15" s="501"/>
      <c r="AAN15" s="501"/>
      <c r="AAO15" s="501"/>
      <c r="AAP15" s="501"/>
      <c r="AAQ15" s="501"/>
      <c r="AAR15" s="501"/>
      <c r="AAS15" s="501"/>
      <c r="AAT15" s="501"/>
      <c r="AAU15" s="501"/>
      <c r="AAV15" s="501"/>
      <c r="AAW15" s="501"/>
      <c r="AAX15" s="501"/>
      <c r="AAY15" s="501"/>
      <c r="AAZ15" s="501"/>
      <c r="ABA15" s="501"/>
      <c r="ABB15" s="501"/>
      <c r="ABC15" s="501"/>
      <c r="ABD15" s="501"/>
      <c r="ABE15" s="501"/>
      <c r="ABF15" s="501"/>
      <c r="ABG15" s="501"/>
      <c r="ABH15" s="501"/>
      <c r="ABI15" s="501"/>
      <c r="ABJ15" s="501"/>
      <c r="ABK15" s="501"/>
      <c r="ABL15" s="501"/>
      <c r="ABM15" s="501"/>
      <c r="ABN15" s="501"/>
      <c r="ABO15" s="501"/>
      <c r="ABP15" s="501"/>
      <c r="ABQ15" s="501"/>
      <c r="ABR15" s="501"/>
      <c r="ABS15" s="501"/>
      <c r="ABT15" s="501"/>
      <c r="ABU15" s="501"/>
      <c r="ABV15" s="501"/>
      <c r="ABW15" s="501"/>
      <c r="ABX15" s="501"/>
      <c r="ABY15" s="501"/>
      <c r="ABZ15" s="501"/>
      <c r="ACA15" s="501"/>
      <c r="ACB15" s="501"/>
      <c r="ACC15" s="501"/>
      <c r="ACD15" s="501"/>
      <c r="ACE15" s="501"/>
      <c r="ACF15" s="501"/>
      <c r="ACG15" s="501"/>
      <c r="ACH15" s="501"/>
      <c r="ACI15" s="501"/>
      <c r="ACJ15" s="501"/>
      <c r="ACK15" s="501"/>
      <c r="ACL15" s="501"/>
      <c r="ACM15" s="501"/>
      <c r="ACN15" s="501"/>
      <c r="ACO15" s="501"/>
      <c r="ACP15" s="501"/>
      <c r="ACQ15" s="501"/>
      <c r="ACR15" s="501"/>
      <c r="ACS15" s="501"/>
      <c r="ACT15" s="501"/>
      <c r="ACU15" s="501"/>
      <c r="ACV15" s="501"/>
      <c r="ACW15" s="501"/>
      <c r="ACX15" s="501"/>
      <c r="ACY15" s="501"/>
      <c r="ACZ15" s="501"/>
      <c r="ADA15" s="501"/>
      <c r="ADB15" s="501"/>
      <c r="ADC15" s="501"/>
      <c r="ADD15" s="501"/>
      <c r="ADE15" s="501"/>
      <c r="ADF15" s="501"/>
      <c r="ADG15" s="501"/>
      <c r="ADH15" s="501"/>
      <c r="ADI15" s="501"/>
      <c r="ADJ15" s="501"/>
      <c r="ADK15" s="501"/>
      <c r="ADL15" s="501"/>
      <c r="ADM15" s="501"/>
      <c r="ADN15" s="501"/>
      <c r="ADO15" s="501"/>
      <c r="ADP15" s="501"/>
      <c r="ADQ15" s="501"/>
      <c r="ADR15" s="501"/>
      <c r="ADT15" s="501"/>
      <c r="ADU15" s="501"/>
      <c r="ADV15" s="501"/>
      <c r="ADW15" s="501"/>
      <c r="ADX15" s="501"/>
      <c r="ADY15" s="501"/>
      <c r="ADZ15" s="501"/>
      <c r="AEA15" s="501"/>
      <c r="AEB15" s="501"/>
      <c r="AEC15" s="501"/>
      <c r="AED15" s="501"/>
      <c r="AEE15" s="501"/>
      <c r="AEF15" s="501"/>
      <c r="AEG15" s="501"/>
      <c r="AEH15" s="501"/>
      <c r="AEI15" s="501"/>
      <c r="AEJ15" s="501"/>
      <c r="AEK15" s="501"/>
      <c r="AEL15" s="501"/>
      <c r="AEM15" s="501"/>
      <c r="AEN15" s="501"/>
      <c r="AEO15" s="501"/>
      <c r="AEP15" s="501"/>
      <c r="AEQ15" s="501"/>
      <c r="AER15" s="501"/>
      <c r="AES15" s="501"/>
      <c r="AET15" s="501"/>
      <c r="AEU15" s="501"/>
      <c r="AEV15" s="501"/>
      <c r="AEW15" s="501"/>
      <c r="AEX15" s="501"/>
      <c r="AEY15" s="501"/>
      <c r="AEZ15" s="501"/>
      <c r="AFA15" s="501"/>
      <c r="AFB15" s="501"/>
      <c r="AFC15" s="501"/>
      <c r="AFD15" s="501"/>
      <c r="AFE15" s="501"/>
      <c r="AFF15" s="501"/>
      <c r="AFG15" s="501"/>
      <c r="AFH15" s="501"/>
      <c r="AFI15" s="501"/>
      <c r="AFJ15" s="501"/>
      <c r="AFK15" s="501"/>
      <c r="AFL15" s="501"/>
      <c r="AFM15" s="501"/>
      <c r="AFN15" s="501"/>
      <c r="AFO15" s="501"/>
      <c r="AFP15" s="501"/>
      <c r="AFQ15" s="501"/>
      <c r="AFR15" s="501"/>
      <c r="AFS15" s="501"/>
      <c r="AFT15" s="501"/>
      <c r="AFU15" s="501"/>
      <c r="AFV15" s="501"/>
      <c r="AFW15" s="501"/>
      <c r="AFX15" s="501"/>
      <c r="AFY15" s="501"/>
      <c r="AFZ15" s="501"/>
      <c r="AGA15" s="501"/>
      <c r="AGB15" s="501"/>
      <c r="AGC15" s="501"/>
      <c r="AGD15" s="501"/>
      <c r="AGE15" s="501"/>
      <c r="AGF15" s="501"/>
      <c r="AGG15" s="501"/>
      <c r="AGH15" s="501"/>
      <c r="AGI15" s="501"/>
      <c r="AGJ15" s="501"/>
      <c r="AGK15" s="501"/>
      <c r="AGL15" s="501"/>
      <c r="AGM15" s="501"/>
      <c r="AGN15" s="501"/>
      <c r="AGO15" s="501"/>
      <c r="AGP15" s="501"/>
      <c r="AGQ15" s="501"/>
      <c r="AGR15" s="501"/>
      <c r="AGS15" s="501"/>
      <c r="AGT15" s="501"/>
      <c r="AGU15" s="501"/>
      <c r="AGV15" s="501"/>
      <c r="AGW15" s="501"/>
      <c r="AGX15" s="501"/>
      <c r="AGY15" s="501"/>
      <c r="AGZ15" s="501"/>
      <c r="AHA15" s="501"/>
      <c r="AHB15" s="501"/>
      <c r="AHC15" s="501"/>
      <c r="AHD15" s="501"/>
      <c r="AHE15" s="501"/>
      <c r="AHF15" s="501"/>
      <c r="AHG15" s="501"/>
      <c r="AHH15" s="501"/>
      <c r="AHI15" s="501"/>
      <c r="AHJ15" s="501"/>
      <c r="AHK15" s="501"/>
      <c r="AHL15" s="501"/>
      <c r="AHM15" s="501"/>
      <c r="AHN15" s="501"/>
      <c r="AHO15" s="501"/>
      <c r="AHP15" s="501"/>
      <c r="AHQ15" s="501"/>
      <c r="AHR15" s="501"/>
      <c r="AHS15" s="501"/>
      <c r="AHT15" s="501"/>
      <c r="AHU15" s="501"/>
      <c r="AHV15" s="501"/>
      <c r="AHW15" s="501"/>
      <c r="AHX15" s="501"/>
      <c r="AHY15" s="501"/>
      <c r="AHZ15" s="501"/>
      <c r="AIA15" s="501"/>
      <c r="AIB15" s="501"/>
      <c r="AIC15" s="501"/>
      <c r="AID15" s="501"/>
      <c r="AIE15" s="501"/>
      <c r="AIF15" s="501"/>
      <c r="AIG15" s="501"/>
      <c r="AIH15" s="501"/>
      <c r="AII15" s="501"/>
      <c r="AIJ15" s="501"/>
      <c r="AIK15" s="501"/>
      <c r="AIL15" s="501"/>
      <c r="AIM15" s="501"/>
      <c r="AIN15" s="501"/>
      <c r="AIO15" s="501"/>
      <c r="AIP15" s="501"/>
      <c r="AIQ15" s="501"/>
      <c r="AIR15" s="501"/>
      <c r="AIS15" s="501"/>
      <c r="AIT15" s="501"/>
      <c r="AIU15" s="501"/>
      <c r="AIV15" s="501"/>
      <c r="AIW15" s="501"/>
      <c r="AIX15" s="501"/>
      <c r="AIY15" s="501"/>
      <c r="AIZ15" s="501"/>
      <c r="AJA15" s="501"/>
      <c r="AJB15" s="501"/>
      <c r="AJC15" s="501"/>
      <c r="AJD15" s="501"/>
      <c r="AJE15" s="501"/>
      <c r="AJF15" s="501"/>
      <c r="AJG15" s="501"/>
      <c r="AJH15" s="501"/>
      <c r="AJI15" s="501"/>
      <c r="AJJ15" s="501"/>
      <c r="AJK15" s="501"/>
      <c r="AJL15" s="501"/>
      <c r="AJM15" s="501"/>
      <c r="AJN15" s="501"/>
      <c r="AJO15" s="501"/>
      <c r="AJP15" s="501"/>
      <c r="AJQ15" s="501"/>
      <c r="AJR15" s="501"/>
      <c r="AJS15" s="501"/>
      <c r="AJT15" s="501"/>
      <c r="AJU15" s="501"/>
      <c r="AJV15" s="501"/>
      <c r="AJW15" s="501"/>
      <c r="AJX15" s="501"/>
      <c r="AJY15" s="501"/>
      <c r="AJZ15" s="501"/>
      <c r="AKA15" s="501"/>
      <c r="AKB15" s="501"/>
      <c r="AKC15" s="501"/>
      <c r="AKD15" s="501"/>
      <c r="AKE15" s="501"/>
      <c r="AKF15" s="501"/>
      <c r="AKG15" s="501"/>
      <c r="AKH15" s="501"/>
      <c r="AKI15" s="501"/>
      <c r="AKJ15" s="501"/>
      <c r="AKK15" s="501"/>
      <c r="AKL15" s="501"/>
      <c r="AKM15" s="501"/>
      <c r="AKN15" s="501"/>
      <c r="AKO15" s="501"/>
      <c r="AKP15" s="501"/>
      <c r="AKQ15" s="501"/>
      <c r="AKR15" s="501"/>
      <c r="AKS15" s="501"/>
      <c r="AKT15" s="501"/>
      <c r="AKU15" s="501"/>
      <c r="AKV15" s="501"/>
      <c r="AKW15" s="501"/>
      <c r="AKX15" s="501"/>
      <c r="AKY15" s="501"/>
      <c r="AKZ15" s="501"/>
      <c r="ALA15" s="501"/>
      <c r="ALB15" s="501"/>
      <c r="ALC15" s="501"/>
      <c r="ALD15" s="501"/>
      <c r="ALE15" s="501"/>
      <c r="ALF15" s="501"/>
      <c r="ALG15" s="501"/>
      <c r="ALH15" s="501"/>
      <c r="ALI15" s="501"/>
      <c r="ALJ15" s="501"/>
      <c r="ALK15" s="501"/>
      <c r="ALL15" s="501"/>
      <c r="ALM15" s="501"/>
      <c r="ALN15" s="501"/>
      <c r="ALO15" s="501"/>
      <c r="ALP15" s="501"/>
      <c r="ALQ15" s="501"/>
      <c r="ALR15" s="501"/>
      <c r="ALS15" s="501"/>
      <c r="ALT15" s="501"/>
      <c r="ALU15" s="501"/>
      <c r="ALV15" s="501"/>
      <c r="ALW15" s="501"/>
      <c r="ALX15" s="501"/>
      <c r="ALY15" s="501"/>
      <c r="ALZ15" s="501"/>
      <c r="AMA15" s="501"/>
      <c r="AMB15" s="501"/>
      <c r="AMC15" s="501"/>
      <c r="AMD15" s="501"/>
      <c r="AME15" s="501"/>
      <c r="AMF15" s="501"/>
      <c r="AMG15" s="501"/>
      <c r="AMH15" s="501"/>
      <c r="AMI15" s="501"/>
      <c r="AMJ15" s="501"/>
      <c r="AMK15" s="501"/>
      <c r="AML15" s="501"/>
      <c r="AMM15" s="501"/>
      <c r="AMN15" s="501"/>
      <c r="AMO15" s="501"/>
      <c r="AMP15" s="501"/>
      <c r="AMQ15" s="501"/>
      <c r="AMR15" s="501"/>
      <c r="AMS15" s="501"/>
      <c r="AMT15" s="501"/>
      <c r="AMU15" s="501"/>
      <c r="AMV15" s="501"/>
      <c r="AMW15" s="501"/>
      <c r="AMX15" s="501"/>
      <c r="AMY15" s="501"/>
      <c r="AMZ15" s="501"/>
      <c r="ANA15" s="501"/>
      <c r="ANB15" s="501"/>
      <c r="ANC15" s="501"/>
      <c r="AND15" s="501"/>
      <c r="ANE15" s="501"/>
      <c r="ANF15" s="501"/>
      <c r="ANG15" s="501"/>
      <c r="ANH15" s="501"/>
      <c r="ANI15" s="501"/>
      <c r="ANJ15" s="501"/>
      <c r="ANK15" s="501"/>
      <c r="ANL15" s="501"/>
      <c r="ANM15" s="501"/>
      <c r="ANN15" s="501"/>
      <c r="ANO15" s="501"/>
      <c r="ANP15" s="501"/>
      <c r="ANQ15" s="501"/>
      <c r="ANR15" s="501"/>
      <c r="ANS15" s="501"/>
      <c r="ANT15" s="501"/>
      <c r="ANU15" s="501"/>
      <c r="ANV15" s="501"/>
      <c r="ANW15" s="501"/>
      <c r="ANX15" s="501"/>
      <c r="ANY15" s="501"/>
      <c r="ANZ15" s="501"/>
      <c r="AOA15" s="501"/>
      <c r="AOB15" s="501"/>
      <c r="AOC15" s="501"/>
      <c r="AOD15" s="501"/>
      <c r="AOE15" s="501"/>
      <c r="AOF15" s="501"/>
      <c r="AOG15" s="501"/>
      <c r="AOH15" s="501"/>
      <c r="AOI15" s="501"/>
      <c r="AOJ15" s="501"/>
      <c r="AOK15" s="501"/>
      <c r="AOL15" s="501"/>
      <c r="AOM15" s="501"/>
      <c r="AON15" s="501"/>
      <c r="AOO15" s="501"/>
      <c r="AOP15" s="501"/>
      <c r="AOQ15" s="501"/>
      <c r="AOR15" s="501"/>
      <c r="AOS15" s="501"/>
      <c r="AOT15" s="501"/>
      <c r="AOU15" s="501"/>
      <c r="AOV15" s="501"/>
      <c r="AOW15" s="501"/>
      <c r="AOX15" s="501"/>
      <c r="AOY15" s="501"/>
      <c r="AOZ15" s="501"/>
      <c r="APA15" s="501"/>
      <c r="APB15" s="501"/>
      <c r="APC15" s="501"/>
      <c r="APD15" s="501"/>
      <c r="APE15" s="501"/>
      <c r="APF15" s="501"/>
      <c r="APG15" s="501"/>
      <c r="APH15" s="501"/>
      <c r="API15" s="501"/>
      <c r="APJ15" s="501"/>
      <c r="APK15" s="501"/>
      <c r="APL15" s="501"/>
      <c r="APM15" s="501"/>
      <c r="APN15" s="501"/>
      <c r="APO15" s="501"/>
      <c r="APP15" s="501"/>
      <c r="APQ15" s="501"/>
      <c r="APR15" s="501"/>
      <c r="APS15" s="501"/>
      <c r="APT15" s="501"/>
      <c r="APU15" s="501"/>
      <c r="APV15" s="501"/>
      <c r="APW15" s="501"/>
      <c r="APX15" s="501"/>
      <c r="APY15" s="501"/>
      <c r="APZ15" s="501"/>
      <c r="AQA15" s="501"/>
      <c r="AQB15" s="501"/>
      <c r="AQC15" s="501"/>
      <c r="AQD15" s="501"/>
      <c r="AQE15" s="501"/>
      <c r="AQF15" s="501"/>
      <c r="AQG15" s="501"/>
      <c r="AQH15" s="501"/>
      <c r="AQI15" s="501"/>
      <c r="AQJ15" s="501"/>
      <c r="AQK15" s="501"/>
      <c r="AQL15" s="501"/>
      <c r="AQM15" s="501"/>
      <c r="AQN15" s="501"/>
      <c r="AQO15" s="501"/>
      <c r="AQP15" s="501"/>
      <c r="AQQ15" s="501"/>
      <c r="AQR15" s="501"/>
      <c r="AQS15" s="501"/>
      <c r="AQT15" s="501"/>
      <c r="AQU15" s="501"/>
      <c r="AQV15" s="501"/>
      <c r="AQW15" s="501"/>
      <c r="AQX15" s="501"/>
      <c r="AQY15" s="501"/>
      <c r="AQZ15" s="501"/>
      <c r="ARA15" s="501"/>
      <c r="ARB15" s="501"/>
      <c r="ARC15" s="501"/>
      <c r="ARD15" s="501"/>
      <c r="ARE15" s="501"/>
      <c r="ARF15" s="501"/>
      <c r="ARG15" s="501"/>
      <c r="ARH15" s="501"/>
      <c r="ARI15" s="501"/>
      <c r="ARJ15" s="501"/>
      <c r="ARK15" s="501"/>
      <c r="ARL15" s="501"/>
      <c r="ARM15" s="501"/>
      <c r="ARN15" s="501"/>
      <c r="ARO15" s="501"/>
      <c r="ARP15" s="501"/>
      <c r="ARQ15" s="501"/>
      <c r="ARR15" s="501"/>
      <c r="ARS15" s="501"/>
      <c r="ART15" s="501"/>
      <c r="ARU15" s="501"/>
      <c r="ARV15" s="501"/>
      <c r="ARW15" s="501"/>
      <c r="ARX15" s="501"/>
      <c r="ARY15" s="501"/>
      <c r="ARZ15" s="501"/>
      <c r="ASA15" s="501"/>
      <c r="ASB15" s="501"/>
      <c r="ASC15" s="501"/>
      <c r="ASD15" s="501"/>
      <c r="ASE15" s="501"/>
      <c r="ASF15" s="501"/>
      <c r="ASG15" s="501"/>
      <c r="ASH15" s="501"/>
      <c r="ASI15" s="501"/>
      <c r="ASJ15" s="501"/>
      <c r="ASK15" s="501"/>
      <c r="ASL15" s="501"/>
      <c r="ASM15" s="501"/>
      <c r="ASN15" s="501"/>
      <c r="ASO15" s="501"/>
      <c r="ASP15" s="501"/>
      <c r="ASQ15" s="501"/>
      <c r="ASR15" s="501"/>
      <c r="ASS15" s="501"/>
      <c r="AST15" s="501"/>
      <c r="ASU15" s="501"/>
      <c r="ASV15" s="501"/>
      <c r="ASW15" s="501"/>
      <c r="ASX15" s="501"/>
      <c r="ASY15" s="501"/>
      <c r="ASZ15" s="501"/>
      <c r="ATA15" s="501"/>
      <c r="ATB15" s="501"/>
      <c r="ATC15" s="501"/>
      <c r="ATD15" s="501"/>
      <c r="ATE15" s="501"/>
      <c r="ATF15" s="501"/>
      <c r="ATG15" s="501"/>
      <c r="ATH15" s="501"/>
      <c r="ATI15" s="501"/>
      <c r="ATJ15" s="501"/>
      <c r="ATK15" s="501"/>
      <c r="ATL15" s="501"/>
      <c r="ATM15" s="501"/>
      <c r="ATN15" s="501"/>
      <c r="ATO15" s="501"/>
      <c r="ATP15" s="501"/>
      <c r="ATQ15" s="501"/>
      <c r="ATR15" s="501"/>
      <c r="ATS15" s="501"/>
      <c r="ATT15" s="501"/>
      <c r="ATU15" s="501"/>
      <c r="ATV15" s="501"/>
      <c r="ATW15" s="501"/>
      <c r="ATX15" s="501"/>
      <c r="ATY15" s="501"/>
      <c r="ATZ15" s="501"/>
      <c r="AUA15" s="501"/>
      <c r="AUB15" s="501"/>
      <c r="AUC15" s="501"/>
      <c r="AUD15" s="501"/>
      <c r="AUE15" s="501"/>
      <c r="AUF15" s="501"/>
      <c r="AUG15" s="501"/>
      <c r="AUH15" s="501"/>
      <c r="AUI15" s="501"/>
      <c r="AUJ15" s="501"/>
      <c r="AUK15" s="501"/>
      <c r="AUL15" s="501"/>
      <c r="AUM15" s="501"/>
      <c r="AUN15" s="501"/>
      <c r="AUO15" s="501"/>
      <c r="AUP15" s="501"/>
      <c r="AUQ15" s="501"/>
      <c r="AUR15" s="501"/>
      <c r="AUS15" s="501"/>
      <c r="AUT15" s="501"/>
      <c r="AUU15" s="501"/>
      <c r="AUV15" s="501"/>
      <c r="AUW15" s="501"/>
      <c r="AUX15" s="501"/>
      <c r="AUY15" s="501"/>
      <c r="AUZ15" s="501"/>
      <c r="AVA15" s="501"/>
      <c r="AVB15" s="501"/>
      <c r="AVC15" s="501"/>
      <c r="AVD15" s="501"/>
      <c r="AVE15" s="501"/>
      <c r="AVF15" s="501"/>
      <c r="AVG15" s="501"/>
      <c r="AVH15" s="501"/>
      <c r="AVI15" s="501"/>
      <c r="AVJ15" s="501"/>
      <c r="AVK15" s="501"/>
      <c r="AVL15" s="501"/>
      <c r="AVM15" s="501"/>
      <c r="AVN15" s="501"/>
      <c r="AVO15" s="501"/>
      <c r="AVP15" s="501"/>
      <c r="AVQ15" s="501"/>
      <c r="AVR15" s="501"/>
      <c r="AVS15" s="501"/>
      <c r="AVT15" s="501"/>
      <c r="AVU15" s="501"/>
      <c r="AVV15" s="501"/>
      <c r="AVW15" s="501"/>
      <c r="AVX15" s="501"/>
      <c r="AVY15" s="501"/>
      <c r="AVZ15" s="501"/>
      <c r="AWA15" s="501"/>
      <c r="AWB15" s="501"/>
      <c r="AWC15" s="501"/>
      <c r="AWD15" s="501"/>
      <c r="AWE15" s="501"/>
      <c r="AWF15" s="501"/>
      <c r="AWG15" s="501"/>
      <c r="AWH15" s="501"/>
      <c r="AWI15" s="501"/>
      <c r="AWJ15" s="501"/>
      <c r="AWK15" s="501"/>
      <c r="AWL15" s="501"/>
      <c r="AWM15" s="501"/>
      <c r="AWN15" s="501"/>
      <c r="AWO15" s="501"/>
      <c r="AWP15" s="501"/>
      <c r="AWQ15" s="501"/>
      <c r="AWR15" s="501"/>
      <c r="AWS15" s="501"/>
      <c r="AWT15" s="501"/>
      <c r="AWU15" s="501"/>
      <c r="AWV15" s="501"/>
      <c r="AWW15" s="501"/>
      <c r="AWX15" s="501"/>
      <c r="AWY15" s="501"/>
      <c r="AWZ15" s="501"/>
      <c r="AXA15" s="501"/>
      <c r="AXB15" s="501"/>
      <c r="AXC15" s="501"/>
      <c r="AXD15" s="501"/>
      <c r="AXE15" s="501"/>
      <c r="AXF15" s="501"/>
      <c r="AXG15" s="501"/>
      <c r="AXH15" s="501"/>
      <c r="AXI15" s="501"/>
      <c r="AXJ15" s="501"/>
      <c r="AXK15" s="501"/>
      <c r="AXL15" s="501"/>
      <c r="AXM15" s="501"/>
      <c r="AXN15" s="501"/>
      <c r="AXO15" s="501"/>
      <c r="AXP15" s="501"/>
      <c r="AXQ15" s="501"/>
      <c r="AXR15" s="501"/>
      <c r="AXS15" s="501"/>
      <c r="AXT15" s="501"/>
      <c r="AXU15" s="501"/>
      <c r="AXV15" s="501"/>
      <c r="AXW15" s="501"/>
      <c r="AXX15" s="501"/>
      <c r="AXY15" s="501"/>
      <c r="AXZ15" s="501"/>
      <c r="AYA15" s="501"/>
      <c r="AYB15" s="501"/>
      <c r="AYC15" s="501"/>
      <c r="AYD15" s="501"/>
      <c r="AYE15" s="501"/>
      <c r="AYF15" s="501"/>
      <c r="AYG15" s="501"/>
      <c r="AYH15" s="501"/>
      <c r="AYI15" s="501"/>
      <c r="AYJ15" s="501"/>
      <c r="AYK15" s="501"/>
      <c r="AYL15" s="501"/>
      <c r="AYM15" s="501"/>
      <c r="AYN15" s="501"/>
      <c r="AYO15" s="501"/>
      <c r="AYP15" s="501"/>
      <c r="AYQ15" s="501"/>
      <c r="AYR15" s="501"/>
      <c r="AYS15" s="501"/>
      <c r="AYT15" s="501"/>
      <c r="AYU15" s="501"/>
      <c r="AYV15" s="501"/>
      <c r="AYW15" s="501"/>
      <c r="AYX15" s="501"/>
      <c r="AYY15" s="501"/>
      <c r="AYZ15" s="501"/>
      <c r="AZA15" s="501"/>
      <c r="AZB15" s="501"/>
      <c r="AZC15" s="501"/>
      <c r="AZD15" s="501"/>
      <c r="AZE15" s="501"/>
      <c r="AZF15" s="501"/>
      <c r="AZG15" s="501"/>
      <c r="AZH15" s="501"/>
      <c r="AZI15" s="501"/>
      <c r="AZJ15" s="501"/>
      <c r="AZK15" s="501"/>
      <c r="AZL15" s="501"/>
      <c r="AZM15" s="501"/>
      <c r="AZN15" s="501"/>
      <c r="AZO15" s="501"/>
      <c r="AZP15" s="501"/>
      <c r="AZQ15" s="501"/>
      <c r="AZR15" s="501"/>
      <c r="AZS15" s="501"/>
      <c r="AZT15" s="501"/>
      <c r="AZU15" s="501"/>
      <c r="AZV15" s="501"/>
      <c r="AZW15" s="501"/>
      <c r="AZX15" s="501"/>
      <c r="AZY15" s="501"/>
      <c r="AZZ15" s="501"/>
      <c r="BAA15" s="501"/>
      <c r="BAB15" s="501"/>
      <c r="BAC15" s="501"/>
      <c r="BAD15" s="501"/>
      <c r="BAE15" s="501"/>
      <c r="BAF15" s="501"/>
      <c r="BAG15" s="501"/>
      <c r="BAH15" s="501"/>
      <c r="BAI15" s="501"/>
      <c r="BAJ15" s="501"/>
      <c r="BAK15" s="501"/>
      <c r="BAL15" s="501"/>
      <c r="BAM15" s="501"/>
      <c r="BAN15" s="501"/>
      <c r="BAO15" s="501"/>
      <c r="BAP15" s="501"/>
      <c r="BAQ15" s="501"/>
      <c r="BAR15" s="501"/>
      <c r="BAS15" s="501"/>
      <c r="BAT15" s="501"/>
      <c r="BAU15" s="501"/>
      <c r="BAV15" s="501"/>
      <c r="BAW15" s="501"/>
      <c r="BAX15" s="501"/>
      <c r="BAY15" s="501"/>
      <c r="BAZ15" s="501"/>
      <c r="BBA15" s="501"/>
      <c r="BBB15" s="501"/>
      <c r="BBC15" s="501"/>
      <c r="BBD15" s="501"/>
      <c r="BBE15" s="501"/>
      <c r="BBF15" s="501"/>
      <c r="BBG15" s="501"/>
      <c r="BBH15" s="501"/>
      <c r="BBI15" s="501"/>
      <c r="BBJ15" s="501"/>
      <c r="BBK15" s="501"/>
      <c r="BBL15" s="501"/>
      <c r="BBM15" s="501"/>
      <c r="BBN15" s="501"/>
      <c r="BBO15" s="501"/>
      <c r="BBP15" s="501"/>
      <c r="BBQ15" s="501"/>
      <c r="BBR15" s="501"/>
      <c r="BBS15" s="501"/>
      <c r="BBT15" s="501"/>
      <c r="BBU15" s="501"/>
      <c r="BBV15" s="501"/>
      <c r="BBW15" s="501"/>
      <c r="BBX15" s="501"/>
      <c r="BBY15" s="501"/>
      <c r="BBZ15" s="501"/>
      <c r="BCA15" s="501"/>
      <c r="BCB15" s="501"/>
      <c r="BCC15" s="501"/>
      <c r="BCD15" s="501"/>
      <c r="BCE15" s="501"/>
      <c r="BCF15" s="501"/>
      <c r="BCG15" s="501"/>
      <c r="BCH15" s="501"/>
      <c r="BCI15" s="501"/>
      <c r="BCJ15" s="501"/>
      <c r="BCK15" s="501"/>
      <c r="BCL15" s="501"/>
      <c r="BCM15" s="501"/>
      <c r="BCN15" s="501"/>
      <c r="BCO15" s="501"/>
      <c r="BCP15" s="501"/>
      <c r="BCQ15" s="501"/>
      <c r="BCR15" s="501"/>
      <c r="BCS15" s="501"/>
      <c r="BCT15" s="501"/>
      <c r="BCU15" s="501"/>
      <c r="BCV15" s="501"/>
      <c r="BCW15" s="501"/>
      <c r="BCX15" s="501"/>
      <c r="BCY15" s="501"/>
      <c r="BCZ15" s="501"/>
      <c r="BDA15" s="501"/>
      <c r="BDB15" s="501"/>
      <c r="BDC15" s="501"/>
      <c r="BDD15" s="501"/>
      <c r="BDE15" s="501"/>
      <c r="BDF15" s="501"/>
      <c r="BDG15" s="501"/>
      <c r="BDH15" s="501"/>
      <c r="BDI15" s="501"/>
      <c r="BDJ15" s="501"/>
      <c r="BDK15" s="501"/>
      <c r="BDL15" s="501"/>
      <c r="BDM15" s="501"/>
      <c r="BDN15" s="501"/>
      <c r="BDO15" s="501"/>
      <c r="BDP15" s="501"/>
      <c r="BDQ15" s="501"/>
      <c r="BDR15" s="501"/>
      <c r="BDS15" s="501"/>
      <c r="BDT15" s="501"/>
      <c r="BDU15" s="501"/>
      <c r="BDV15" s="501"/>
      <c r="BDW15" s="501"/>
      <c r="BDX15" s="501"/>
      <c r="BDY15" s="501"/>
      <c r="BDZ15" s="501"/>
      <c r="BEA15" s="501"/>
      <c r="BEB15" s="501"/>
      <c r="BEC15" s="501"/>
      <c r="BED15" s="501"/>
      <c r="BEE15" s="501"/>
      <c r="BEF15" s="501"/>
      <c r="BEG15" s="501"/>
      <c r="BEH15" s="501"/>
      <c r="BEI15" s="501"/>
      <c r="BEJ15" s="501"/>
      <c r="BEK15" s="501"/>
      <c r="BEL15" s="501"/>
      <c r="BEM15" s="501"/>
      <c r="BEN15" s="501"/>
      <c r="BEO15" s="501"/>
      <c r="BEP15" s="501"/>
      <c r="BEQ15" s="501"/>
      <c r="BER15" s="501"/>
      <c r="BES15" s="501"/>
      <c r="BET15" s="501"/>
      <c r="BEU15" s="501"/>
      <c r="BEV15" s="501"/>
      <c r="BEW15" s="501"/>
      <c r="BEX15" s="501"/>
      <c r="BEY15" s="501"/>
      <c r="BEZ15" s="501"/>
      <c r="BFA15" s="501"/>
      <c r="BFB15" s="501"/>
      <c r="BFC15" s="501"/>
      <c r="BFD15" s="501"/>
      <c r="BFE15" s="501"/>
      <c r="BFF15" s="501"/>
      <c r="BFG15" s="501"/>
      <c r="BFH15" s="501"/>
      <c r="BFI15" s="501"/>
      <c r="BFJ15" s="501"/>
      <c r="BFK15" s="501"/>
      <c r="BFL15" s="501"/>
      <c r="BFM15" s="501"/>
      <c r="BFN15" s="501"/>
      <c r="BFO15" s="501"/>
      <c r="BFP15" s="501"/>
      <c r="BFQ15" s="501"/>
      <c r="BFR15" s="501"/>
      <c r="BFS15" s="501"/>
      <c r="BFT15" s="501"/>
      <c r="BFU15" s="501"/>
      <c r="BFV15" s="501"/>
      <c r="BFW15" s="501"/>
      <c r="BFX15" s="501"/>
      <c r="BFY15" s="501"/>
      <c r="BFZ15" s="501"/>
      <c r="BGA15" s="501"/>
      <c r="BGB15" s="501"/>
      <c r="BGC15" s="501"/>
      <c r="BGD15" s="501"/>
      <c r="BGE15" s="501"/>
      <c r="BGF15" s="501"/>
      <c r="BGG15" s="501"/>
      <c r="BGH15" s="501"/>
      <c r="BGI15" s="501"/>
      <c r="BGJ15" s="501"/>
      <c r="BGK15" s="501"/>
      <c r="BGL15" s="501"/>
      <c r="BGM15" s="501"/>
      <c r="BGN15" s="501"/>
      <c r="BGO15" s="501"/>
      <c r="BGP15" s="501"/>
      <c r="BGQ15" s="501"/>
      <c r="BGR15" s="501"/>
      <c r="BGS15" s="501"/>
      <c r="BGT15" s="501"/>
      <c r="BGU15" s="501"/>
      <c r="BGV15" s="501"/>
      <c r="BGW15" s="501"/>
      <c r="BGX15" s="501"/>
      <c r="BGY15" s="501"/>
      <c r="BGZ15" s="501"/>
      <c r="BHA15" s="501"/>
      <c r="BHB15" s="501"/>
      <c r="BHC15" s="501"/>
      <c r="BHD15" s="501"/>
      <c r="BHE15" s="501"/>
      <c r="BHF15" s="501"/>
      <c r="BHG15" s="501"/>
      <c r="BHH15" s="501"/>
      <c r="BHI15" s="501"/>
      <c r="BHJ15" s="501"/>
      <c r="BHK15" s="501"/>
      <c r="BHL15" s="501"/>
      <c r="BHM15" s="501"/>
      <c r="BHN15" s="501"/>
      <c r="BHO15" s="501"/>
      <c r="BHP15" s="501"/>
      <c r="BHQ15" s="501"/>
      <c r="BHR15" s="501"/>
      <c r="BHS15" s="501"/>
      <c r="BHT15" s="501"/>
      <c r="BHU15" s="501"/>
      <c r="BHV15" s="501"/>
      <c r="BHW15" s="501"/>
      <c r="BHX15" s="501"/>
      <c r="BHY15" s="501"/>
      <c r="BHZ15" s="501"/>
      <c r="BIA15" s="501"/>
      <c r="BIB15" s="501"/>
      <c r="BIC15" s="501"/>
      <c r="BID15" s="501"/>
      <c r="BIE15" s="501"/>
      <c r="BIF15" s="501"/>
      <c r="BIG15" s="501"/>
      <c r="BIH15" s="501"/>
      <c r="BII15" s="501"/>
      <c r="BIJ15" s="501"/>
      <c r="BIK15" s="501"/>
      <c r="BIL15" s="501"/>
      <c r="BIM15" s="501"/>
      <c r="BIN15" s="501"/>
      <c r="BIO15" s="501"/>
      <c r="BIP15" s="501"/>
      <c r="BIQ15" s="501"/>
      <c r="BIR15" s="501"/>
      <c r="BIS15" s="501"/>
      <c r="BIT15" s="501"/>
      <c r="BIU15" s="501"/>
      <c r="BIV15" s="501"/>
      <c r="BIW15" s="501"/>
      <c r="BIX15" s="501"/>
      <c r="BIY15" s="501"/>
      <c r="BIZ15" s="501"/>
      <c r="BJA15" s="501"/>
      <c r="BJB15" s="501"/>
      <c r="BJC15" s="501"/>
      <c r="BJD15" s="501"/>
      <c r="BJE15" s="501"/>
      <c r="BJF15" s="501"/>
      <c r="BJG15" s="501"/>
      <c r="BJH15" s="501"/>
      <c r="BJI15" s="501"/>
      <c r="BJJ15" s="501"/>
      <c r="BJK15" s="501"/>
      <c r="BJL15" s="501"/>
      <c r="BJM15" s="501"/>
      <c r="BJN15" s="501"/>
      <c r="BJO15" s="501"/>
      <c r="BJP15" s="501"/>
      <c r="BJQ15" s="501"/>
      <c r="BJR15" s="501"/>
      <c r="BJS15" s="501"/>
      <c r="BJT15" s="501"/>
      <c r="BJU15" s="501"/>
      <c r="BJV15" s="501"/>
      <c r="BJW15" s="501"/>
      <c r="BJX15" s="501"/>
      <c r="BJY15" s="501"/>
      <c r="BJZ15" s="501"/>
      <c r="BKA15" s="501"/>
      <c r="BKB15" s="501"/>
      <c r="BKC15" s="501"/>
      <c r="BKD15" s="501"/>
      <c r="BKE15" s="501"/>
      <c r="BKF15" s="501"/>
      <c r="BKG15" s="501"/>
      <c r="BKH15" s="501"/>
      <c r="BKI15" s="501"/>
      <c r="BKJ15" s="501"/>
      <c r="BKK15" s="501"/>
      <c r="BKL15" s="501"/>
      <c r="BKM15" s="501"/>
      <c r="BKN15" s="501"/>
      <c r="BKO15" s="501"/>
      <c r="BKP15" s="501"/>
      <c r="BKQ15" s="501"/>
      <c r="BKR15" s="501"/>
      <c r="BKS15" s="501"/>
      <c r="BKT15" s="501"/>
      <c r="BKU15" s="501"/>
      <c r="BKV15" s="501"/>
      <c r="BKW15" s="501"/>
      <c r="BKX15" s="501"/>
      <c r="BKY15" s="501"/>
      <c r="BKZ15" s="501"/>
      <c r="BLA15" s="501"/>
      <c r="BLB15" s="501"/>
      <c r="BLC15" s="501"/>
      <c r="BLD15" s="501"/>
      <c r="BLE15" s="501"/>
      <c r="BLF15" s="501"/>
      <c r="BLG15" s="501"/>
      <c r="BLH15" s="501"/>
      <c r="BLI15" s="501"/>
      <c r="BLJ15" s="501"/>
      <c r="BLK15" s="501"/>
      <c r="BLL15" s="501"/>
      <c r="BLM15" s="501"/>
      <c r="BLN15" s="501"/>
      <c r="BLO15" s="501"/>
      <c r="BLP15" s="501"/>
      <c r="BLQ15" s="501"/>
      <c r="BLR15" s="501"/>
      <c r="BLS15" s="501"/>
      <c r="BLT15" s="501"/>
      <c r="BLU15" s="501"/>
      <c r="BLV15" s="501"/>
      <c r="BLW15" s="501"/>
      <c r="BLX15" s="501"/>
      <c r="BLY15" s="501"/>
      <c r="BLZ15" s="501"/>
      <c r="BMA15" s="501"/>
      <c r="BMB15" s="501"/>
      <c r="BMC15" s="501"/>
      <c r="BMD15" s="501"/>
      <c r="BME15" s="501"/>
      <c r="BMF15" s="501"/>
      <c r="BMG15" s="501"/>
      <c r="BMH15" s="501"/>
      <c r="BMI15" s="501"/>
      <c r="BMJ15" s="501"/>
      <c r="BMK15" s="501"/>
      <c r="BML15" s="501"/>
      <c r="BMM15" s="501"/>
      <c r="BMN15" s="501"/>
      <c r="BMO15" s="501"/>
      <c r="BMP15" s="501"/>
      <c r="BMQ15" s="501"/>
      <c r="BMR15" s="501"/>
      <c r="BMS15" s="501"/>
      <c r="BMT15" s="501"/>
      <c r="BMU15" s="501"/>
      <c r="BMV15" s="501"/>
      <c r="BMW15" s="501"/>
      <c r="BMX15" s="501"/>
      <c r="BMY15" s="501"/>
      <c r="BMZ15" s="501"/>
      <c r="BNA15" s="501"/>
      <c r="BNB15" s="501"/>
      <c r="BNC15" s="501"/>
      <c r="BND15" s="501"/>
      <c r="BNE15" s="501"/>
      <c r="BNF15" s="501"/>
      <c r="BNG15" s="501"/>
      <c r="BNH15" s="501"/>
      <c r="BNI15" s="501"/>
      <c r="BNJ15" s="501"/>
      <c r="BNK15" s="501"/>
      <c r="BNL15" s="501"/>
      <c r="BNM15" s="501"/>
      <c r="BNN15" s="501"/>
      <c r="BNO15" s="501"/>
      <c r="BNP15" s="501"/>
      <c r="BNQ15" s="501"/>
      <c r="BNR15" s="501"/>
      <c r="BNS15" s="501"/>
      <c r="BNT15" s="501"/>
      <c r="BNU15" s="501"/>
      <c r="BNV15" s="501"/>
      <c r="BNW15" s="501"/>
      <c r="BNX15" s="501"/>
      <c r="BNY15" s="501"/>
      <c r="BNZ15" s="501"/>
      <c r="BOA15" s="501"/>
      <c r="BOB15" s="501"/>
      <c r="BOC15" s="501"/>
      <c r="BOD15" s="501"/>
      <c r="BOE15" s="501"/>
      <c r="BOF15" s="501"/>
      <c r="BOG15" s="501"/>
      <c r="BOH15" s="501"/>
      <c r="BOI15" s="501"/>
      <c r="BOJ15" s="501"/>
      <c r="BOK15" s="501"/>
      <c r="BOL15" s="501"/>
      <c r="BOM15" s="501"/>
      <c r="BON15" s="501"/>
      <c r="BOO15" s="501"/>
      <c r="BOP15" s="501"/>
      <c r="BOQ15" s="501"/>
      <c r="BOR15" s="501"/>
      <c r="BOS15" s="501"/>
      <c r="BOT15" s="501"/>
      <c r="BOU15" s="501"/>
      <c r="BOV15" s="501"/>
      <c r="BOW15" s="501"/>
      <c r="BOX15" s="501"/>
      <c r="BOY15" s="501"/>
      <c r="BOZ15" s="501"/>
      <c r="BPA15" s="501"/>
      <c r="BPB15" s="501"/>
      <c r="BPC15" s="501"/>
      <c r="BPD15" s="501"/>
      <c r="BPE15" s="501"/>
      <c r="BPF15" s="501"/>
      <c r="BPG15" s="501"/>
      <c r="BPH15" s="501"/>
      <c r="BPI15" s="501"/>
      <c r="BPJ15" s="501"/>
      <c r="BPK15" s="501"/>
      <c r="BPL15" s="501"/>
      <c r="BPM15" s="501"/>
      <c r="BPN15" s="501"/>
      <c r="BPO15" s="501"/>
      <c r="BPP15" s="501"/>
      <c r="BPQ15" s="501"/>
      <c r="BPR15" s="501"/>
      <c r="BPS15" s="501"/>
      <c r="BPT15" s="501"/>
      <c r="BPU15" s="501"/>
      <c r="BPV15" s="501"/>
      <c r="BPW15" s="501"/>
      <c r="BPX15" s="501"/>
      <c r="BPY15" s="501"/>
      <c r="BPZ15" s="501"/>
      <c r="BQA15" s="501"/>
      <c r="BQB15" s="501"/>
      <c r="BQC15" s="501"/>
      <c r="BQD15" s="501"/>
      <c r="BQE15" s="501"/>
      <c r="BQF15" s="501"/>
      <c r="BQG15" s="501"/>
      <c r="BQH15" s="501"/>
      <c r="BQI15" s="501"/>
      <c r="BQJ15" s="501"/>
      <c r="BQK15" s="501"/>
      <c r="BQL15" s="501"/>
      <c r="BQM15" s="501"/>
      <c r="BQN15" s="501"/>
      <c r="BQO15" s="501"/>
      <c r="BQP15" s="501"/>
      <c r="BQQ15" s="501"/>
      <c r="BQR15" s="501"/>
      <c r="BQS15" s="501"/>
      <c r="BQT15" s="501"/>
      <c r="BQU15" s="501"/>
      <c r="BQV15" s="501"/>
      <c r="BQW15" s="501"/>
      <c r="BQX15" s="501"/>
      <c r="BQY15" s="501"/>
      <c r="BQZ15" s="501"/>
      <c r="BRA15" s="501"/>
      <c r="BRB15" s="501"/>
      <c r="BRC15" s="501"/>
      <c r="BRD15" s="501"/>
      <c r="BRE15" s="501"/>
      <c r="BRF15" s="501"/>
      <c r="BRG15" s="501"/>
      <c r="BRH15" s="501"/>
      <c r="BRI15" s="501"/>
      <c r="BRJ15" s="501"/>
      <c r="BRK15" s="501"/>
      <c r="BRL15" s="501"/>
      <c r="BRM15" s="501"/>
      <c r="BRN15" s="501"/>
      <c r="BRO15" s="501"/>
      <c r="BRP15" s="501"/>
      <c r="BRQ15" s="501"/>
      <c r="BRR15" s="501"/>
      <c r="BRS15" s="501"/>
      <c r="BRT15" s="501"/>
      <c r="BRU15" s="501"/>
      <c r="BRV15" s="501"/>
      <c r="BRW15" s="501"/>
      <c r="BRX15" s="501"/>
      <c r="BRY15" s="501"/>
      <c r="BRZ15" s="501"/>
      <c r="BSA15" s="501"/>
      <c r="BSB15" s="501"/>
    </row>
    <row r="16" spans="1:1849" s="502" customFormat="1" ht="15" x14ac:dyDescent="0.2">
      <c r="A16" s="503">
        <v>15</v>
      </c>
      <c r="B16" s="504" t="s">
        <v>25</v>
      </c>
      <c r="C16" s="548" t="s">
        <v>442</v>
      </c>
      <c r="D16" s="504" t="s">
        <v>26</v>
      </c>
      <c r="E16" s="504" t="s">
        <v>27</v>
      </c>
      <c r="F16" s="505">
        <v>20</v>
      </c>
      <c r="G16" s="505">
        <v>30</v>
      </c>
      <c r="H16" s="505">
        <v>19.600000000000001</v>
      </c>
      <c r="I16" s="505">
        <v>30</v>
      </c>
      <c r="J16" s="504">
        <v>1</v>
      </c>
      <c r="K16" s="504">
        <f t="shared" si="0"/>
        <v>600</v>
      </c>
      <c r="L16" s="504" t="s">
        <v>28</v>
      </c>
      <c r="M16" s="509" t="s">
        <v>262</v>
      </c>
      <c r="N16" s="510" t="s">
        <v>33</v>
      </c>
      <c r="O16" s="504">
        <v>79.030552999999998</v>
      </c>
      <c r="P16" s="506">
        <v>40000</v>
      </c>
      <c r="Q16" s="505">
        <v>50000</v>
      </c>
      <c r="R16" s="505">
        <v>80000</v>
      </c>
      <c r="S16" s="501"/>
      <c r="T16" s="501"/>
      <c r="U16" s="501"/>
      <c r="V16" s="501"/>
      <c r="W16" s="501"/>
      <c r="X16" s="501"/>
      <c r="Y16" s="501"/>
      <c r="Z16" s="501"/>
      <c r="AA16" s="501"/>
      <c r="AB16" s="501"/>
      <c r="AC16" s="501"/>
      <c r="AD16" s="501"/>
      <c r="AE16" s="501"/>
      <c r="AF16" s="501"/>
      <c r="AG16" s="501"/>
      <c r="AH16" s="501"/>
      <c r="AI16" s="501"/>
      <c r="AJ16" s="501"/>
      <c r="AK16" s="501"/>
      <c r="AL16" s="501"/>
      <c r="AM16" s="501"/>
      <c r="AN16" s="501"/>
      <c r="AO16" s="501"/>
      <c r="AP16" s="501"/>
      <c r="AQ16" s="501"/>
      <c r="AR16" s="501"/>
      <c r="AS16" s="501"/>
      <c r="AT16" s="501"/>
      <c r="AU16" s="501"/>
      <c r="AV16" s="501"/>
      <c r="AW16" s="501"/>
      <c r="AX16" s="501"/>
      <c r="AY16" s="501"/>
      <c r="AZ16" s="501"/>
      <c r="BA16" s="501"/>
      <c r="BB16" s="501"/>
      <c r="BC16" s="501"/>
      <c r="BD16" s="501"/>
      <c r="BE16" s="501"/>
      <c r="BF16" s="501"/>
      <c r="BG16" s="501"/>
      <c r="BH16" s="501"/>
      <c r="BI16" s="501"/>
      <c r="BJ16" s="501"/>
      <c r="BK16" s="501"/>
      <c r="BL16" s="501"/>
      <c r="BM16" s="501"/>
      <c r="BN16" s="501"/>
      <c r="BO16" s="501"/>
      <c r="BP16" s="501"/>
      <c r="BQ16" s="501"/>
      <c r="BR16" s="501"/>
      <c r="BS16" s="501"/>
      <c r="BT16" s="501"/>
      <c r="BU16" s="501"/>
      <c r="BV16" s="501"/>
      <c r="BW16" s="501"/>
      <c r="BX16" s="501"/>
      <c r="BY16" s="501"/>
      <c r="BZ16" s="501"/>
      <c r="CA16" s="501"/>
      <c r="CB16" s="501"/>
      <c r="CC16" s="501"/>
      <c r="CD16" s="501"/>
      <c r="CE16" s="501"/>
      <c r="CF16" s="501"/>
      <c r="CG16" s="501"/>
      <c r="CH16" s="501"/>
      <c r="CI16" s="501"/>
      <c r="CJ16" s="501"/>
      <c r="CK16" s="501"/>
      <c r="CL16" s="501"/>
      <c r="CM16" s="501"/>
      <c r="CN16" s="501"/>
      <c r="CO16" s="501"/>
      <c r="CP16" s="501"/>
      <c r="CQ16" s="501"/>
      <c r="CR16" s="501"/>
      <c r="CS16" s="501"/>
      <c r="CT16" s="501"/>
      <c r="CU16" s="501"/>
      <c r="CV16" s="501"/>
      <c r="CW16" s="501"/>
      <c r="CX16" s="501"/>
      <c r="CY16" s="501"/>
      <c r="CZ16" s="501"/>
      <c r="DA16" s="501"/>
      <c r="DB16" s="501"/>
      <c r="DC16" s="501"/>
      <c r="DD16" s="501"/>
      <c r="DE16" s="501"/>
      <c r="DF16" s="501"/>
      <c r="DG16" s="501"/>
      <c r="DH16" s="501"/>
      <c r="DI16" s="501"/>
      <c r="DJ16" s="501"/>
      <c r="DK16" s="501"/>
      <c r="DL16" s="501"/>
      <c r="DM16" s="501"/>
      <c r="DN16" s="501"/>
      <c r="DO16" s="501"/>
      <c r="DP16" s="501"/>
      <c r="DQ16" s="501"/>
      <c r="DR16" s="501"/>
      <c r="DS16" s="501"/>
      <c r="DT16" s="501"/>
      <c r="DU16" s="501"/>
      <c r="DV16" s="501"/>
      <c r="DW16" s="501"/>
      <c r="DX16" s="501"/>
      <c r="DY16" s="501"/>
      <c r="DZ16" s="501"/>
      <c r="EA16" s="501"/>
      <c r="EB16" s="501"/>
      <c r="EC16" s="501"/>
      <c r="ED16" s="501"/>
      <c r="EE16" s="501"/>
      <c r="EF16" s="501"/>
      <c r="EG16" s="501"/>
      <c r="EH16" s="501"/>
      <c r="EI16" s="501"/>
      <c r="EJ16" s="501"/>
      <c r="EK16" s="501"/>
      <c r="EL16" s="501"/>
      <c r="EM16" s="501"/>
      <c r="EN16" s="501"/>
      <c r="EO16" s="501"/>
      <c r="EP16" s="501"/>
      <c r="EQ16" s="501"/>
      <c r="ER16" s="501"/>
      <c r="ES16" s="501"/>
      <c r="ET16" s="501"/>
      <c r="EU16" s="501"/>
      <c r="EV16" s="501"/>
      <c r="EW16" s="501"/>
      <c r="EX16" s="501"/>
      <c r="EY16" s="501"/>
      <c r="EZ16" s="501"/>
      <c r="FA16" s="501"/>
      <c r="FB16" s="501"/>
      <c r="FC16" s="501"/>
      <c r="FD16" s="501"/>
      <c r="FE16" s="501"/>
      <c r="FF16" s="501"/>
      <c r="FG16" s="501"/>
      <c r="FH16" s="501"/>
      <c r="FI16" s="501"/>
      <c r="FJ16" s="501"/>
      <c r="FK16" s="501"/>
      <c r="FL16" s="501"/>
      <c r="FM16" s="501"/>
      <c r="FN16" s="501"/>
      <c r="FO16" s="501"/>
      <c r="FP16" s="501"/>
      <c r="FQ16" s="501"/>
      <c r="FR16" s="501"/>
      <c r="FS16" s="501"/>
      <c r="FT16" s="501"/>
      <c r="FU16" s="501"/>
      <c r="FV16" s="501"/>
      <c r="FW16" s="501"/>
      <c r="FX16" s="501"/>
      <c r="FY16" s="501"/>
      <c r="FZ16" s="501"/>
      <c r="GA16" s="501"/>
      <c r="GB16" s="501"/>
      <c r="GC16" s="501"/>
      <c r="GD16" s="501"/>
      <c r="GE16" s="501"/>
      <c r="GF16" s="501"/>
      <c r="GG16" s="501"/>
      <c r="GH16" s="501"/>
      <c r="GI16" s="501"/>
      <c r="GJ16" s="501"/>
      <c r="GK16" s="501"/>
      <c r="GL16" s="501"/>
      <c r="GM16" s="501"/>
      <c r="GN16" s="501"/>
      <c r="GO16" s="501"/>
      <c r="GP16" s="501"/>
      <c r="GQ16" s="501"/>
      <c r="GR16" s="501"/>
      <c r="GS16" s="501"/>
      <c r="GT16" s="501"/>
      <c r="GU16" s="501"/>
      <c r="GV16" s="501"/>
      <c r="GW16" s="501"/>
      <c r="GX16" s="501"/>
      <c r="GY16" s="501"/>
      <c r="GZ16" s="501"/>
      <c r="HA16" s="501"/>
      <c r="HB16" s="501"/>
      <c r="HC16" s="501"/>
      <c r="HD16" s="501"/>
      <c r="HE16" s="501"/>
      <c r="HF16" s="501"/>
      <c r="HG16" s="501"/>
      <c r="HH16" s="501"/>
      <c r="HI16" s="501"/>
      <c r="HJ16" s="501"/>
      <c r="HK16" s="501"/>
      <c r="HL16" s="501"/>
      <c r="HM16" s="501"/>
      <c r="HN16" s="501"/>
      <c r="HO16" s="501"/>
      <c r="HP16" s="501"/>
      <c r="HQ16" s="501"/>
      <c r="HR16" s="501"/>
      <c r="HS16" s="501"/>
      <c r="HT16" s="501"/>
      <c r="HU16" s="501"/>
      <c r="HV16" s="501"/>
      <c r="HW16" s="501"/>
      <c r="HX16" s="501"/>
      <c r="HY16" s="501"/>
      <c r="HZ16" s="501"/>
      <c r="IA16" s="501"/>
      <c r="IB16" s="501"/>
      <c r="IC16" s="501"/>
      <c r="ID16" s="501"/>
      <c r="IE16" s="501"/>
      <c r="IF16" s="501"/>
      <c r="IG16" s="501"/>
      <c r="IH16" s="501"/>
      <c r="II16" s="501"/>
      <c r="IJ16" s="501"/>
      <c r="IK16" s="501"/>
      <c r="IL16" s="501"/>
      <c r="IM16" s="501"/>
      <c r="IN16" s="501"/>
      <c r="IO16" s="501"/>
      <c r="IP16" s="501"/>
      <c r="IQ16" s="501"/>
      <c r="IR16" s="501"/>
      <c r="IS16" s="501"/>
      <c r="IT16" s="501"/>
      <c r="IU16" s="501"/>
      <c r="IV16" s="501"/>
      <c r="IW16" s="501"/>
      <c r="IX16" s="501"/>
      <c r="IY16" s="501"/>
      <c r="IZ16" s="501"/>
      <c r="JA16" s="501"/>
      <c r="JB16" s="501"/>
      <c r="JC16" s="501"/>
      <c r="JD16" s="501"/>
      <c r="JE16" s="501"/>
      <c r="JF16" s="501"/>
      <c r="JG16" s="501"/>
      <c r="JH16" s="501"/>
      <c r="JI16" s="501"/>
      <c r="JJ16" s="501"/>
      <c r="JK16" s="501"/>
      <c r="JL16" s="501"/>
      <c r="JM16" s="501"/>
      <c r="JN16" s="501"/>
      <c r="JO16" s="501"/>
      <c r="JP16" s="501"/>
      <c r="JQ16" s="501"/>
      <c r="JR16" s="501"/>
      <c r="JS16" s="501"/>
      <c r="JT16" s="501"/>
      <c r="JU16" s="501"/>
      <c r="JV16" s="501"/>
      <c r="JW16" s="501"/>
      <c r="JX16" s="501"/>
      <c r="JY16" s="501"/>
      <c r="JZ16" s="501"/>
      <c r="KA16" s="501"/>
      <c r="KB16" s="501"/>
      <c r="KC16" s="501"/>
      <c r="KD16" s="501"/>
      <c r="KE16" s="501"/>
      <c r="KF16" s="501"/>
      <c r="KG16" s="501"/>
      <c r="KH16" s="501"/>
      <c r="KI16" s="501"/>
      <c r="KJ16" s="501"/>
      <c r="KK16" s="501"/>
      <c r="KL16" s="501"/>
      <c r="KM16" s="501"/>
      <c r="KN16" s="501"/>
      <c r="KO16" s="501"/>
      <c r="KP16" s="501"/>
      <c r="KQ16" s="501"/>
      <c r="KR16" s="501"/>
      <c r="KS16" s="501"/>
      <c r="KT16" s="501"/>
      <c r="KU16" s="501"/>
      <c r="KV16" s="501"/>
      <c r="KW16" s="501"/>
      <c r="KX16" s="501"/>
      <c r="KY16" s="501"/>
      <c r="KZ16" s="501"/>
      <c r="LA16" s="501"/>
      <c r="LB16" s="501"/>
      <c r="LC16" s="501"/>
      <c r="LD16" s="501"/>
      <c r="LE16" s="501"/>
      <c r="LF16" s="501"/>
      <c r="LG16" s="501"/>
      <c r="LH16" s="501"/>
      <c r="LI16" s="501"/>
      <c r="LJ16" s="501"/>
      <c r="LK16" s="501"/>
      <c r="LL16" s="501"/>
      <c r="LM16" s="501"/>
      <c r="LN16" s="501"/>
      <c r="LO16" s="501"/>
      <c r="LP16" s="501"/>
      <c r="LQ16" s="501"/>
      <c r="LR16" s="501"/>
      <c r="LS16" s="501"/>
      <c r="LT16" s="501"/>
      <c r="LU16" s="501"/>
      <c r="LV16" s="501"/>
      <c r="LW16" s="501"/>
      <c r="LX16" s="501"/>
      <c r="LY16" s="501"/>
      <c r="LZ16" s="501"/>
      <c r="MA16" s="501"/>
      <c r="MB16" s="501"/>
      <c r="MC16" s="501"/>
      <c r="MD16" s="501"/>
      <c r="ME16" s="501"/>
      <c r="MF16" s="501"/>
      <c r="MG16" s="501"/>
      <c r="MH16" s="501"/>
      <c r="MI16" s="501"/>
      <c r="MJ16" s="501"/>
      <c r="MK16" s="501"/>
      <c r="ML16" s="501"/>
      <c r="MM16" s="501"/>
      <c r="MN16" s="501"/>
      <c r="MO16" s="501"/>
      <c r="MP16" s="501"/>
      <c r="MQ16" s="501"/>
      <c r="MR16" s="501"/>
      <c r="MS16" s="501"/>
      <c r="MT16" s="501"/>
      <c r="MU16" s="501"/>
      <c r="MV16" s="501"/>
      <c r="MW16" s="501"/>
      <c r="MX16" s="501"/>
      <c r="MY16" s="501"/>
      <c r="MZ16" s="501"/>
      <c r="NA16" s="501"/>
      <c r="NB16" s="501"/>
      <c r="NC16" s="501"/>
      <c r="ND16" s="501"/>
      <c r="NE16" s="501"/>
      <c r="NF16" s="501"/>
      <c r="NG16" s="501"/>
      <c r="NH16" s="501"/>
      <c r="NI16" s="501"/>
      <c r="NJ16" s="501"/>
      <c r="NK16" s="501"/>
      <c r="NL16" s="501"/>
      <c r="NM16" s="501"/>
      <c r="NN16" s="501"/>
      <c r="NO16" s="501"/>
      <c r="NP16" s="501"/>
      <c r="NQ16" s="501"/>
      <c r="NR16" s="501"/>
      <c r="NS16" s="501"/>
      <c r="NT16" s="501"/>
      <c r="NU16" s="501"/>
      <c r="NV16" s="501"/>
      <c r="NW16" s="501"/>
      <c r="NX16" s="501"/>
      <c r="NY16" s="501"/>
      <c r="NZ16" s="501"/>
      <c r="OA16" s="501"/>
      <c r="OB16" s="501"/>
      <c r="OC16" s="501"/>
      <c r="OD16" s="501"/>
      <c r="OE16" s="501"/>
      <c r="OF16" s="501"/>
      <c r="OG16" s="501"/>
      <c r="OH16" s="501"/>
      <c r="OI16" s="501"/>
      <c r="OJ16" s="501"/>
      <c r="OK16" s="501"/>
      <c r="OL16" s="501"/>
      <c r="OM16" s="501"/>
      <c r="ON16" s="501"/>
      <c r="OO16" s="501"/>
      <c r="OP16" s="501"/>
      <c r="OQ16" s="501"/>
      <c r="OR16" s="501"/>
      <c r="OS16" s="501"/>
      <c r="OT16" s="501"/>
      <c r="OU16" s="501"/>
      <c r="OV16" s="501"/>
      <c r="OW16" s="501"/>
      <c r="OX16" s="501"/>
      <c r="OY16" s="501"/>
      <c r="OZ16" s="501"/>
      <c r="PA16" s="501"/>
      <c r="PB16" s="501"/>
      <c r="PC16" s="501"/>
      <c r="PD16" s="501"/>
      <c r="PE16" s="501"/>
      <c r="PF16" s="501"/>
      <c r="PG16" s="501"/>
      <c r="PH16" s="501"/>
      <c r="PI16" s="501"/>
      <c r="PJ16" s="501"/>
      <c r="PK16" s="501"/>
      <c r="PL16" s="501"/>
      <c r="PM16" s="501"/>
      <c r="PN16" s="501"/>
      <c r="PO16" s="501"/>
      <c r="PP16" s="501"/>
      <c r="PQ16" s="501"/>
      <c r="PR16" s="501"/>
      <c r="PS16" s="501"/>
      <c r="PT16" s="501"/>
      <c r="PU16" s="501"/>
      <c r="PV16" s="501"/>
      <c r="PW16" s="501"/>
      <c r="PX16" s="501"/>
      <c r="PY16" s="501"/>
      <c r="PZ16" s="501"/>
      <c r="QA16" s="501"/>
      <c r="QB16" s="501"/>
      <c r="QC16" s="501"/>
      <c r="QD16" s="501"/>
      <c r="QE16" s="501"/>
      <c r="QF16" s="501"/>
      <c r="QG16" s="501"/>
      <c r="QH16" s="501"/>
      <c r="QI16" s="501"/>
      <c r="QJ16" s="501"/>
      <c r="QK16" s="501"/>
      <c r="QL16" s="501"/>
      <c r="QM16" s="501"/>
      <c r="QN16" s="501"/>
      <c r="QO16" s="501"/>
      <c r="QP16" s="501"/>
      <c r="QQ16" s="501"/>
      <c r="QR16" s="501"/>
      <c r="QS16" s="501"/>
      <c r="QT16" s="501"/>
      <c r="QU16" s="501"/>
      <c r="QV16" s="501"/>
      <c r="QW16" s="501"/>
      <c r="QX16" s="501"/>
      <c r="QY16" s="501"/>
      <c r="QZ16" s="501"/>
      <c r="RA16" s="501"/>
      <c r="RB16" s="501"/>
      <c r="RC16" s="501"/>
      <c r="RD16" s="501"/>
      <c r="RE16" s="501"/>
      <c r="RF16" s="501"/>
      <c r="RG16" s="501"/>
      <c r="RH16" s="501"/>
      <c r="RI16" s="501"/>
      <c r="RJ16" s="501"/>
      <c r="RK16" s="501"/>
      <c r="RL16" s="501"/>
      <c r="RM16" s="501"/>
      <c r="RN16" s="501"/>
      <c r="RO16" s="501"/>
      <c r="RP16" s="501"/>
      <c r="RQ16" s="501"/>
      <c r="RR16" s="501"/>
      <c r="RS16" s="501"/>
      <c r="RT16" s="501"/>
      <c r="RU16" s="501"/>
      <c r="RV16" s="501"/>
      <c r="RW16" s="501"/>
      <c r="RX16" s="501"/>
      <c r="RY16" s="501"/>
      <c r="RZ16" s="501"/>
      <c r="SA16" s="501"/>
      <c r="SB16" s="501"/>
      <c r="SC16" s="501"/>
      <c r="SD16" s="501"/>
      <c r="SE16" s="501"/>
      <c r="SF16" s="501"/>
      <c r="SG16" s="501"/>
      <c r="SH16" s="501"/>
      <c r="SI16" s="501"/>
      <c r="SJ16" s="501"/>
      <c r="SK16" s="501"/>
      <c r="SL16" s="501"/>
      <c r="SM16" s="501"/>
      <c r="SN16" s="501"/>
      <c r="SO16" s="501"/>
      <c r="SP16" s="501"/>
      <c r="SQ16" s="501"/>
      <c r="SR16" s="501"/>
      <c r="SS16" s="501"/>
      <c r="ST16" s="501"/>
      <c r="SU16" s="501"/>
      <c r="SV16" s="501"/>
      <c r="SW16" s="501"/>
      <c r="SX16" s="501"/>
      <c r="SY16" s="501"/>
      <c r="SZ16" s="501"/>
      <c r="TA16" s="501"/>
      <c r="TB16" s="501"/>
      <c r="TC16" s="501"/>
      <c r="TD16" s="501"/>
      <c r="TE16" s="501"/>
      <c r="TF16" s="501"/>
      <c r="TG16" s="501"/>
      <c r="TH16" s="501"/>
      <c r="TI16" s="501"/>
      <c r="TJ16" s="501"/>
      <c r="TK16" s="501"/>
      <c r="TL16" s="501"/>
      <c r="TM16" s="501"/>
      <c r="TN16" s="501"/>
      <c r="TO16" s="501"/>
      <c r="TP16" s="501"/>
      <c r="TQ16" s="501"/>
      <c r="TR16" s="501"/>
      <c r="TS16" s="501"/>
      <c r="TT16" s="501"/>
      <c r="TU16" s="501"/>
      <c r="TV16" s="501"/>
      <c r="TW16" s="501"/>
      <c r="TX16" s="501"/>
      <c r="TY16" s="501"/>
      <c r="TZ16" s="501"/>
      <c r="UA16" s="501"/>
      <c r="UB16" s="501"/>
      <c r="UC16" s="501"/>
      <c r="UD16" s="501"/>
      <c r="UE16" s="501"/>
      <c r="UF16" s="501"/>
      <c r="UG16" s="501"/>
      <c r="UH16" s="501"/>
      <c r="UI16" s="501"/>
      <c r="UJ16" s="501"/>
      <c r="UK16" s="501"/>
      <c r="UL16" s="501"/>
      <c r="UM16" s="501"/>
      <c r="UN16" s="501"/>
      <c r="UO16" s="501"/>
      <c r="UP16" s="501"/>
      <c r="UQ16" s="501"/>
      <c r="UR16" s="501"/>
      <c r="US16" s="501"/>
      <c r="UT16" s="501"/>
      <c r="UU16" s="501"/>
      <c r="UV16" s="501"/>
      <c r="UW16" s="501"/>
      <c r="UX16" s="501"/>
      <c r="UY16" s="501"/>
      <c r="UZ16" s="501"/>
      <c r="VA16" s="501"/>
      <c r="VB16" s="501"/>
      <c r="VC16" s="501"/>
      <c r="VD16" s="501"/>
      <c r="VE16" s="501"/>
      <c r="VF16" s="501"/>
      <c r="VG16" s="501"/>
      <c r="VH16" s="501"/>
      <c r="VI16" s="501"/>
      <c r="VJ16" s="501"/>
      <c r="VK16" s="501"/>
      <c r="VL16" s="501"/>
      <c r="VM16" s="501"/>
      <c r="VN16" s="501"/>
      <c r="VO16" s="501"/>
      <c r="VP16" s="501"/>
      <c r="VQ16" s="501"/>
      <c r="VR16" s="501"/>
      <c r="VS16" s="501"/>
      <c r="VT16" s="501"/>
      <c r="VU16" s="501"/>
      <c r="VV16" s="501"/>
      <c r="VW16" s="501"/>
      <c r="VX16" s="501"/>
      <c r="VY16" s="501"/>
      <c r="VZ16" s="501"/>
      <c r="WA16" s="501"/>
      <c r="WB16" s="501"/>
      <c r="WC16" s="501"/>
      <c r="WD16" s="501"/>
      <c r="WE16" s="501"/>
      <c r="WF16" s="501"/>
      <c r="WG16" s="501"/>
      <c r="WH16" s="501"/>
      <c r="WI16" s="501"/>
      <c r="WJ16" s="501"/>
      <c r="WK16" s="501"/>
      <c r="WL16" s="501"/>
      <c r="WM16" s="501"/>
      <c r="WN16" s="501"/>
      <c r="WO16" s="501"/>
      <c r="WP16" s="501"/>
      <c r="WQ16" s="501"/>
      <c r="WR16" s="501"/>
      <c r="WS16" s="501"/>
      <c r="WT16" s="501"/>
      <c r="WU16" s="501"/>
      <c r="WV16" s="501"/>
      <c r="WW16" s="501"/>
      <c r="WX16" s="501"/>
      <c r="WY16" s="501"/>
      <c r="WZ16" s="501"/>
      <c r="XA16" s="501"/>
      <c r="XB16" s="501"/>
      <c r="XC16" s="501"/>
      <c r="XD16" s="501"/>
      <c r="XE16" s="501"/>
      <c r="XF16" s="501"/>
      <c r="XG16" s="501"/>
      <c r="XH16" s="501"/>
      <c r="XI16" s="501"/>
      <c r="XJ16" s="501"/>
      <c r="XK16" s="501"/>
      <c r="XL16" s="501"/>
      <c r="XM16" s="501"/>
      <c r="XN16" s="501"/>
      <c r="XO16" s="501"/>
      <c r="XP16" s="501"/>
      <c r="XQ16" s="501"/>
      <c r="XR16" s="501"/>
      <c r="XS16" s="501"/>
      <c r="XT16" s="501"/>
      <c r="XU16" s="501"/>
      <c r="XV16" s="501"/>
      <c r="XW16" s="501"/>
      <c r="XX16" s="501"/>
      <c r="XY16" s="501"/>
      <c r="XZ16" s="501"/>
      <c r="YA16" s="501"/>
      <c r="YB16" s="501"/>
      <c r="YC16" s="501"/>
      <c r="YD16" s="501"/>
      <c r="YE16" s="501"/>
      <c r="YF16" s="501"/>
      <c r="YG16" s="501"/>
      <c r="YH16" s="501"/>
      <c r="YI16" s="501"/>
      <c r="YJ16" s="501"/>
      <c r="YK16" s="501"/>
      <c r="YL16" s="501"/>
      <c r="YM16" s="501"/>
      <c r="YN16" s="501"/>
      <c r="YO16" s="501"/>
      <c r="YP16" s="501"/>
      <c r="YQ16" s="501"/>
      <c r="YR16" s="501"/>
      <c r="YS16" s="501"/>
      <c r="YT16" s="501"/>
      <c r="YU16" s="501"/>
      <c r="YV16" s="501"/>
      <c r="YW16" s="501"/>
      <c r="YX16" s="501"/>
      <c r="YY16" s="501"/>
      <c r="YZ16" s="501"/>
      <c r="ZA16" s="501"/>
      <c r="ZB16" s="501"/>
      <c r="ZC16" s="501"/>
      <c r="ZD16" s="501"/>
      <c r="ZE16" s="501"/>
      <c r="ZF16" s="501"/>
      <c r="ZG16" s="501"/>
      <c r="ZH16" s="501"/>
      <c r="ZI16" s="501"/>
      <c r="ZJ16" s="501"/>
      <c r="ZK16" s="501"/>
      <c r="ZL16" s="501"/>
      <c r="ZM16" s="501"/>
      <c r="ZN16" s="501"/>
      <c r="ZO16" s="501"/>
      <c r="ZP16" s="501"/>
      <c r="ZQ16" s="501"/>
      <c r="ZR16" s="501"/>
      <c r="ZS16" s="501"/>
      <c r="ZT16" s="501"/>
      <c r="ZU16" s="501"/>
      <c r="ZV16" s="501"/>
      <c r="ZW16" s="501"/>
      <c r="ZX16" s="501"/>
      <c r="ZY16" s="501"/>
      <c r="ZZ16" s="501"/>
      <c r="AAA16" s="501"/>
      <c r="AAB16" s="501"/>
      <c r="AAC16" s="501"/>
      <c r="AAD16" s="501"/>
      <c r="AAE16" s="501"/>
      <c r="AAF16" s="501"/>
      <c r="AAG16" s="501"/>
      <c r="AAH16" s="501"/>
      <c r="AAI16" s="501"/>
      <c r="AAJ16" s="501"/>
      <c r="AAK16" s="501"/>
      <c r="AAL16" s="501"/>
      <c r="AAM16" s="501"/>
      <c r="AAN16" s="501"/>
      <c r="AAO16" s="501"/>
      <c r="AAP16" s="501"/>
      <c r="AAQ16" s="501"/>
      <c r="AAR16" s="501"/>
      <c r="AAS16" s="501"/>
      <c r="AAT16" s="501"/>
      <c r="AAU16" s="501"/>
      <c r="AAV16" s="501"/>
      <c r="AAW16" s="501"/>
      <c r="AAX16" s="501"/>
      <c r="AAY16" s="501"/>
      <c r="AAZ16" s="501"/>
      <c r="ABA16" s="501"/>
      <c r="ABB16" s="501"/>
      <c r="ABC16" s="501"/>
      <c r="ABD16" s="501"/>
      <c r="ABE16" s="501"/>
      <c r="ABF16" s="501"/>
      <c r="ABG16" s="501"/>
      <c r="ABH16" s="501"/>
      <c r="ABI16" s="501"/>
      <c r="ABJ16" s="501"/>
      <c r="ABK16" s="501"/>
      <c r="ABL16" s="501"/>
      <c r="ABM16" s="501"/>
      <c r="ABN16" s="501"/>
      <c r="ABO16" s="501"/>
      <c r="ABP16" s="501"/>
      <c r="ABQ16" s="501"/>
      <c r="ABR16" s="501"/>
      <c r="ABS16" s="501"/>
      <c r="ABT16" s="501"/>
      <c r="ABU16" s="501"/>
      <c r="ABV16" s="501"/>
      <c r="ABW16" s="501"/>
      <c r="ABX16" s="501"/>
      <c r="ABY16" s="501"/>
      <c r="ABZ16" s="501"/>
      <c r="ACA16" s="501"/>
      <c r="ACB16" s="501"/>
      <c r="ACC16" s="501"/>
      <c r="ACD16" s="501"/>
      <c r="ACE16" s="501"/>
      <c r="ACF16" s="501"/>
      <c r="ACG16" s="501"/>
      <c r="ACH16" s="501"/>
      <c r="ACI16" s="501"/>
      <c r="ACJ16" s="501"/>
      <c r="ACK16" s="501"/>
      <c r="ACL16" s="501"/>
      <c r="ACM16" s="501"/>
      <c r="ACN16" s="501"/>
      <c r="ACO16" s="501"/>
      <c r="ACP16" s="501"/>
      <c r="ACQ16" s="501"/>
      <c r="ACR16" s="501"/>
      <c r="ACS16" s="501"/>
      <c r="ACT16" s="501"/>
      <c r="ACU16" s="501"/>
      <c r="ACV16" s="501"/>
      <c r="ACW16" s="501"/>
      <c r="ACX16" s="501"/>
      <c r="ACY16" s="501"/>
      <c r="ACZ16" s="501"/>
      <c r="ADA16" s="501"/>
      <c r="ADB16" s="501"/>
      <c r="ADC16" s="501"/>
      <c r="ADD16" s="501"/>
      <c r="ADE16" s="501"/>
      <c r="ADF16" s="501"/>
      <c r="ADG16" s="501"/>
      <c r="ADH16" s="501"/>
      <c r="ADI16" s="501"/>
      <c r="ADJ16" s="501"/>
      <c r="ADK16" s="501"/>
      <c r="ADL16" s="501"/>
      <c r="ADM16" s="501"/>
      <c r="ADN16" s="501"/>
      <c r="ADO16" s="501"/>
      <c r="ADP16" s="501"/>
      <c r="ADQ16" s="501"/>
      <c r="ADR16" s="501"/>
      <c r="ADS16" s="501"/>
      <c r="ADT16" s="501"/>
      <c r="ADU16" s="501"/>
      <c r="ADV16" s="501"/>
      <c r="ADW16" s="501"/>
      <c r="ADX16" s="501"/>
      <c r="ADY16" s="501"/>
      <c r="ADZ16" s="501"/>
      <c r="AEA16" s="501"/>
      <c r="AEB16" s="501"/>
      <c r="AEC16" s="501"/>
      <c r="AED16" s="501"/>
      <c r="AEE16" s="501"/>
      <c r="AEF16" s="501"/>
      <c r="AEG16" s="501"/>
      <c r="AEH16" s="501"/>
      <c r="AEI16" s="501"/>
      <c r="AEJ16" s="501"/>
      <c r="AEK16" s="501"/>
      <c r="AEL16" s="501"/>
      <c r="AEM16" s="501"/>
      <c r="AEN16" s="501"/>
      <c r="AEO16" s="501"/>
      <c r="AEP16" s="501"/>
      <c r="AEQ16" s="501"/>
      <c r="AER16" s="501"/>
      <c r="AES16" s="501"/>
      <c r="AET16" s="501"/>
      <c r="AEU16" s="501"/>
      <c r="AEV16" s="501"/>
      <c r="AEW16" s="501"/>
      <c r="AEX16" s="501"/>
      <c r="AEY16" s="501"/>
      <c r="AEZ16" s="501"/>
      <c r="AFA16" s="501"/>
      <c r="AFB16" s="501"/>
      <c r="AFC16" s="501"/>
      <c r="AFD16" s="501"/>
      <c r="AFE16" s="501"/>
      <c r="AFF16" s="501"/>
      <c r="AFG16" s="501"/>
      <c r="AFH16" s="501"/>
      <c r="AFI16" s="501"/>
      <c r="AFJ16" s="501"/>
      <c r="AFK16" s="501"/>
      <c r="AFL16" s="501"/>
      <c r="AFM16" s="501"/>
      <c r="AFN16" s="501"/>
      <c r="AFO16" s="501"/>
      <c r="AFP16" s="501"/>
      <c r="AFQ16" s="501"/>
      <c r="AFR16" s="501"/>
      <c r="AFS16" s="501"/>
      <c r="AFT16" s="501"/>
      <c r="AFU16" s="501"/>
      <c r="AFV16" s="501"/>
      <c r="AFW16" s="501"/>
      <c r="AFX16" s="501"/>
      <c r="AFY16" s="501"/>
      <c r="AFZ16" s="501"/>
      <c r="AGA16" s="501"/>
      <c r="AGB16" s="501"/>
      <c r="AGC16" s="501"/>
      <c r="AGD16" s="501"/>
      <c r="AGE16" s="501"/>
      <c r="AGF16" s="501"/>
      <c r="AGG16" s="501"/>
      <c r="AGH16" s="501"/>
      <c r="AGI16" s="501"/>
      <c r="AGJ16" s="501"/>
      <c r="AGK16" s="501"/>
      <c r="AGL16" s="501"/>
      <c r="AGM16" s="501"/>
      <c r="AGN16" s="501"/>
      <c r="AGO16" s="501"/>
      <c r="AGP16" s="501"/>
      <c r="AGQ16" s="501"/>
      <c r="AGR16" s="501"/>
      <c r="AGS16" s="501"/>
      <c r="AGT16" s="501"/>
      <c r="AGU16" s="501"/>
      <c r="AGV16" s="501"/>
      <c r="AGW16" s="501"/>
      <c r="AGX16" s="501"/>
      <c r="AGY16" s="501"/>
      <c r="AGZ16" s="501"/>
      <c r="AHA16" s="501"/>
      <c r="AHB16" s="501"/>
      <c r="AHC16" s="501"/>
      <c r="AHD16" s="501"/>
      <c r="AHE16" s="501"/>
      <c r="AHF16" s="501"/>
      <c r="AHG16" s="501"/>
      <c r="AHH16" s="501"/>
      <c r="AHI16" s="501"/>
      <c r="AHJ16" s="501"/>
      <c r="AHK16" s="501"/>
      <c r="AHL16" s="501"/>
      <c r="AHM16" s="501"/>
      <c r="AHN16" s="501"/>
      <c r="AHO16" s="501"/>
      <c r="AHP16" s="501"/>
      <c r="AHQ16" s="501"/>
      <c r="AHR16" s="501"/>
      <c r="AHS16" s="501"/>
      <c r="AHT16" s="501"/>
      <c r="AHU16" s="501"/>
      <c r="AHV16" s="501"/>
      <c r="AHW16" s="501"/>
      <c r="AHX16" s="501"/>
      <c r="AHY16" s="501"/>
      <c r="AHZ16" s="501"/>
      <c r="AIA16" s="501"/>
      <c r="AIB16" s="501"/>
      <c r="AIC16" s="501"/>
      <c r="AID16" s="501"/>
      <c r="AIE16" s="501"/>
      <c r="AIF16" s="501"/>
      <c r="AIG16" s="501"/>
      <c r="AIH16" s="501"/>
      <c r="AII16" s="501"/>
      <c r="AIJ16" s="501"/>
      <c r="AIK16" s="501"/>
      <c r="AIL16" s="501"/>
      <c r="AIM16" s="501"/>
      <c r="AIN16" s="501"/>
      <c r="AIO16" s="501"/>
      <c r="AIP16" s="501"/>
      <c r="AIQ16" s="501"/>
      <c r="AIR16" s="501"/>
      <c r="AIS16" s="501"/>
      <c r="AIT16" s="501"/>
      <c r="AIU16" s="501"/>
      <c r="AIV16" s="501"/>
      <c r="AIW16" s="501"/>
      <c r="AIX16" s="501"/>
      <c r="AIY16" s="501"/>
      <c r="AIZ16" s="501"/>
      <c r="AJA16" s="501"/>
      <c r="AJB16" s="501"/>
      <c r="AJC16" s="501"/>
      <c r="AJD16" s="501"/>
      <c r="AJE16" s="501"/>
      <c r="AJF16" s="501"/>
      <c r="AJG16" s="501"/>
      <c r="AJH16" s="501"/>
      <c r="AJI16" s="501"/>
      <c r="AJJ16" s="501"/>
      <c r="AJK16" s="501"/>
      <c r="AJL16" s="501"/>
      <c r="AJM16" s="501"/>
      <c r="AJN16" s="501"/>
      <c r="AJO16" s="501"/>
      <c r="AJP16" s="501"/>
      <c r="AJQ16" s="501"/>
      <c r="AJR16" s="501"/>
      <c r="AJS16" s="501"/>
      <c r="AJT16" s="501"/>
      <c r="AJU16" s="501"/>
      <c r="AJV16" s="501"/>
      <c r="AJW16" s="501"/>
      <c r="AJX16" s="501"/>
      <c r="AJY16" s="501"/>
      <c r="AJZ16" s="501"/>
      <c r="AKA16" s="501"/>
      <c r="AKB16" s="501"/>
      <c r="AKC16" s="501"/>
      <c r="AKD16" s="501"/>
      <c r="AKE16" s="501"/>
      <c r="AKF16" s="501"/>
      <c r="AKG16" s="501"/>
      <c r="AKH16" s="501"/>
      <c r="AKI16" s="501"/>
      <c r="AKJ16" s="501"/>
      <c r="AKK16" s="501"/>
      <c r="AKL16" s="501"/>
      <c r="AKM16" s="501"/>
      <c r="AKN16" s="501"/>
      <c r="AKO16" s="501"/>
      <c r="AKP16" s="501"/>
      <c r="AKQ16" s="501"/>
      <c r="AKR16" s="501"/>
      <c r="AKS16" s="501"/>
      <c r="AKT16" s="501"/>
      <c r="AKU16" s="501"/>
      <c r="AKV16" s="501"/>
      <c r="AKW16" s="501"/>
      <c r="AKX16" s="501"/>
      <c r="AKY16" s="501"/>
      <c r="AKZ16" s="501"/>
      <c r="ALA16" s="501"/>
      <c r="ALB16" s="501"/>
      <c r="ALC16" s="501"/>
      <c r="ALD16" s="501"/>
      <c r="ALE16" s="501"/>
      <c r="ALF16" s="501"/>
      <c r="ALG16" s="501"/>
      <c r="ALH16" s="501"/>
      <c r="ALI16" s="501"/>
      <c r="ALJ16" s="501"/>
      <c r="ALK16" s="501"/>
      <c r="ALL16" s="501"/>
      <c r="ALM16" s="501"/>
      <c r="ALN16" s="501"/>
      <c r="ALO16" s="501"/>
      <c r="ALP16" s="501"/>
      <c r="ALQ16" s="501"/>
      <c r="ALR16" s="501"/>
      <c r="ALS16" s="501"/>
      <c r="ALT16" s="501"/>
      <c r="ALU16" s="501"/>
      <c r="ALV16" s="501"/>
      <c r="ALW16" s="501"/>
      <c r="ALX16" s="501"/>
      <c r="ALY16" s="501"/>
      <c r="ALZ16" s="501"/>
      <c r="AMA16" s="501"/>
      <c r="AMB16" s="501"/>
      <c r="AMC16" s="501"/>
      <c r="AMD16" s="501"/>
      <c r="AME16" s="501"/>
      <c r="AMF16" s="501"/>
      <c r="AMG16" s="501"/>
      <c r="AMH16" s="501"/>
      <c r="AMI16" s="501"/>
      <c r="AMJ16" s="501"/>
      <c r="AMK16" s="501"/>
      <c r="AML16" s="501"/>
      <c r="AMM16" s="501"/>
      <c r="AMN16" s="501"/>
      <c r="AMO16" s="501"/>
      <c r="AMP16" s="501"/>
      <c r="AMQ16" s="501"/>
      <c r="AMR16" s="501"/>
      <c r="AMS16" s="501"/>
      <c r="AMT16" s="501"/>
      <c r="AMU16" s="501"/>
      <c r="AMV16" s="501"/>
      <c r="AMW16" s="501"/>
      <c r="AMX16" s="501"/>
      <c r="AMY16" s="501"/>
      <c r="AMZ16" s="501"/>
      <c r="ANA16" s="501"/>
      <c r="ANB16" s="501"/>
      <c r="ANC16" s="501"/>
      <c r="AND16" s="501"/>
      <c r="ANE16" s="501"/>
      <c r="ANF16" s="501"/>
      <c r="ANG16" s="501"/>
      <c r="ANH16" s="501"/>
      <c r="ANI16" s="501"/>
      <c r="ANJ16" s="501"/>
      <c r="ANK16" s="501"/>
      <c r="ANL16" s="501"/>
      <c r="ANM16" s="501"/>
      <c r="ANN16" s="501"/>
      <c r="ANO16" s="501"/>
      <c r="ANP16" s="501"/>
      <c r="ANQ16" s="501"/>
      <c r="ANR16" s="501"/>
      <c r="ANS16" s="501"/>
      <c r="ANT16" s="501"/>
      <c r="ANU16" s="501"/>
      <c r="ANV16" s="501"/>
      <c r="ANW16" s="501"/>
      <c r="ANX16" s="501"/>
      <c r="ANY16" s="501"/>
      <c r="ANZ16" s="501"/>
      <c r="AOA16" s="501"/>
      <c r="AOB16" s="501"/>
      <c r="AOC16" s="501"/>
      <c r="AOD16" s="501"/>
      <c r="AOE16" s="501"/>
      <c r="AOF16" s="501"/>
      <c r="AOG16" s="501"/>
      <c r="AOH16" s="501"/>
      <c r="AOI16" s="501"/>
      <c r="AOJ16" s="501"/>
      <c r="AOK16" s="501"/>
      <c r="AOL16" s="501"/>
      <c r="AOM16" s="501"/>
      <c r="AON16" s="501"/>
      <c r="AOO16" s="501"/>
      <c r="AOP16" s="501"/>
      <c r="AOQ16" s="501"/>
      <c r="AOR16" s="501"/>
      <c r="AOS16" s="501"/>
      <c r="AOT16" s="501"/>
      <c r="AOU16" s="501"/>
      <c r="AOV16" s="501"/>
      <c r="AOW16" s="501"/>
      <c r="AOX16" s="501"/>
      <c r="AOY16" s="501"/>
      <c r="AOZ16" s="501"/>
      <c r="APA16" s="501"/>
      <c r="APB16" s="501"/>
      <c r="APC16" s="501"/>
      <c r="APD16" s="501"/>
      <c r="APE16" s="501"/>
      <c r="APF16" s="501"/>
      <c r="APG16" s="501"/>
      <c r="APH16" s="501"/>
      <c r="API16" s="501"/>
      <c r="APJ16" s="501"/>
      <c r="APK16" s="501"/>
      <c r="APL16" s="501"/>
      <c r="APM16" s="501"/>
      <c r="APN16" s="501"/>
      <c r="APO16" s="501"/>
      <c r="APP16" s="501"/>
      <c r="APQ16" s="501"/>
      <c r="APR16" s="501"/>
      <c r="APS16" s="501"/>
      <c r="APT16" s="501"/>
      <c r="APU16" s="501"/>
      <c r="APV16" s="501"/>
      <c r="APW16" s="501"/>
      <c r="APX16" s="501"/>
      <c r="APY16" s="501"/>
      <c r="APZ16" s="501"/>
      <c r="AQA16" s="501"/>
      <c r="AQB16" s="501"/>
      <c r="AQC16" s="501"/>
      <c r="AQD16" s="501"/>
      <c r="AQE16" s="501"/>
      <c r="AQF16" s="501"/>
      <c r="AQG16" s="501"/>
      <c r="AQH16" s="501"/>
      <c r="AQI16" s="501"/>
      <c r="AQJ16" s="501"/>
      <c r="AQK16" s="501"/>
      <c r="AQL16" s="501"/>
      <c r="AQM16" s="501"/>
      <c r="AQN16" s="501"/>
      <c r="AQO16" s="501"/>
      <c r="AQP16" s="501"/>
      <c r="AQQ16" s="501"/>
      <c r="AQR16" s="501"/>
      <c r="AQS16" s="501"/>
      <c r="AQT16" s="501"/>
      <c r="AQU16" s="501"/>
      <c r="AQV16" s="501"/>
      <c r="AQW16" s="501"/>
      <c r="AQX16" s="501"/>
      <c r="AQY16" s="501"/>
      <c r="AQZ16" s="501"/>
      <c r="ARA16" s="501"/>
      <c r="ARB16" s="501"/>
      <c r="ARC16" s="501"/>
      <c r="ARD16" s="501"/>
      <c r="ARE16" s="501"/>
      <c r="ARF16" s="501"/>
      <c r="ARG16" s="501"/>
      <c r="ARH16" s="501"/>
      <c r="ARI16" s="501"/>
      <c r="ARJ16" s="501"/>
      <c r="ARK16" s="501"/>
      <c r="ARL16" s="501"/>
      <c r="ARM16" s="501"/>
      <c r="ARN16" s="501"/>
      <c r="ARO16" s="501"/>
      <c r="ARP16" s="501"/>
      <c r="ARQ16" s="501"/>
      <c r="ARR16" s="501"/>
      <c r="ARS16" s="501"/>
      <c r="ART16" s="501"/>
      <c r="ARU16" s="501"/>
      <c r="ARV16" s="501"/>
      <c r="ARW16" s="501"/>
      <c r="ARX16" s="501"/>
      <c r="ARY16" s="501"/>
      <c r="ARZ16" s="501"/>
      <c r="ASA16" s="501"/>
      <c r="ASB16" s="501"/>
      <c r="ASC16" s="501"/>
      <c r="ASD16" s="501"/>
      <c r="ASE16" s="501"/>
      <c r="ASF16" s="501"/>
      <c r="ASG16" s="501"/>
      <c r="ASH16" s="501"/>
      <c r="ASI16" s="501"/>
      <c r="ASJ16" s="501"/>
      <c r="ASK16" s="501"/>
      <c r="ASL16" s="501"/>
      <c r="ASM16" s="501"/>
      <c r="ASN16" s="501"/>
      <c r="ASO16" s="501"/>
      <c r="ASP16" s="501"/>
      <c r="ASQ16" s="501"/>
      <c r="ASR16" s="501"/>
      <c r="ASS16" s="501"/>
      <c r="AST16" s="501"/>
      <c r="ASU16" s="501"/>
      <c r="ASV16" s="501"/>
      <c r="ASW16" s="501"/>
      <c r="ASX16" s="501"/>
      <c r="ASY16" s="501"/>
      <c r="ASZ16" s="501"/>
      <c r="ATA16" s="501"/>
      <c r="ATB16" s="501"/>
      <c r="ATC16" s="501"/>
      <c r="ATD16" s="501"/>
      <c r="ATE16" s="501"/>
      <c r="ATF16" s="501"/>
      <c r="ATG16" s="501"/>
      <c r="ATH16" s="501"/>
      <c r="ATI16" s="501"/>
      <c r="ATJ16" s="501"/>
      <c r="ATK16" s="501"/>
      <c r="ATL16" s="501"/>
      <c r="ATM16" s="501"/>
      <c r="ATN16" s="501"/>
      <c r="ATO16" s="501"/>
      <c r="ATP16" s="501"/>
      <c r="ATQ16" s="501"/>
      <c r="ATR16" s="501"/>
      <c r="ATS16" s="501"/>
      <c r="ATT16" s="501"/>
      <c r="ATU16" s="501"/>
      <c r="ATV16" s="501"/>
      <c r="ATW16" s="501"/>
      <c r="ATX16" s="501"/>
      <c r="ATY16" s="501"/>
      <c r="ATZ16" s="501"/>
      <c r="AUA16" s="501"/>
      <c r="AUB16" s="501"/>
      <c r="AUC16" s="501"/>
      <c r="AUD16" s="501"/>
      <c r="AUE16" s="501"/>
      <c r="AUF16" s="501"/>
      <c r="AUG16" s="501"/>
      <c r="AUH16" s="501"/>
      <c r="AUI16" s="501"/>
      <c r="AUJ16" s="501"/>
      <c r="AUK16" s="501"/>
      <c r="AUL16" s="501"/>
      <c r="AUM16" s="501"/>
      <c r="AUN16" s="501"/>
      <c r="AUO16" s="501"/>
      <c r="AUP16" s="501"/>
      <c r="AUQ16" s="501"/>
      <c r="AUR16" s="501"/>
      <c r="AUS16" s="501"/>
      <c r="AUT16" s="501"/>
      <c r="AUU16" s="501"/>
      <c r="AUV16" s="501"/>
      <c r="AUW16" s="501"/>
      <c r="AUX16" s="501"/>
      <c r="AUY16" s="501"/>
      <c r="AUZ16" s="501"/>
      <c r="AVA16" s="501"/>
      <c r="AVB16" s="501"/>
      <c r="AVC16" s="501"/>
      <c r="AVD16" s="501"/>
      <c r="AVE16" s="501"/>
      <c r="AVF16" s="501"/>
      <c r="AVG16" s="501"/>
      <c r="AVH16" s="501"/>
      <c r="AVI16" s="501"/>
      <c r="AVJ16" s="501"/>
      <c r="AVK16" s="501"/>
      <c r="AVL16" s="501"/>
      <c r="AVM16" s="501"/>
      <c r="AVN16" s="501"/>
      <c r="AVO16" s="501"/>
      <c r="AVP16" s="501"/>
      <c r="AVQ16" s="501"/>
      <c r="AVR16" s="501"/>
      <c r="AVS16" s="501"/>
      <c r="AVT16" s="501"/>
      <c r="AVU16" s="501"/>
      <c r="AVV16" s="501"/>
      <c r="AVW16" s="501"/>
      <c r="AVX16" s="501"/>
      <c r="AVY16" s="501"/>
      <c r="AVZ16" s="501"/>
      <c r="AWA16" s="501"/>
      <c r="AWB16" s="501"/>
      <c r="AWC16" s="501"/>
      <c r="AWD16" s="501"/>
      <c r="AWE16" s="501"/>
      <c r="AWF16" s="501"/>
      <c r="AWG16" s="501"/>
      <c r="AWH16" s="501"/>
      <c r="AWI16" s="501"/>
      <c r="AWJ16" s="501"/>
      <c r="AWK16" s="501"/>
      <c r="AWL16" s="501"/>
      <c r="AWM16" s="501"/>
      <c r="AWN16" s="501"/>
      <c r="AWO16" s="501"/>
      <c r="AWP16" s="501"/>
      <c r="AWQ16" s="501"/>
      <c r="AWR16" s="501"/>
      <c r="AWS16" s="501"/>
      <c r="AWT16" s="501"/>
      <c r="AWU16" s="501"/>
      <c r="AWV16" s="501"/>
      <c r="AWW16" s="501"/>
      <c r="AWX16" s="501"/>
      <c r="AWY16" s="501"/>
      <c r="AWZ16" s="501"/>
      <c r="AXA16" s="501"/>
      <c r="AXB16" s="501"/>
      <c r="AXC16" s="501"/>
      <c r="AXD16" s="501"/>
      <c r="AXE16" s="501"/>
      <c r="AXF16" s="501"/>
      <c r="AXG16" s="501"/>
      <c r="AXH16" s="501"/>
      <c r="AXI16" s="501"/>
      <c r="AXJ16" s="501"/>
      <c r="AXK16" s="501"/>
      <c r="AXL16" s="501"/>
      <c r="AXM16" s="501"/>
      <c r="AXN16" s="501"/>
      <c r="AXO16" s="501"/>
      <c r="AXP16" s="501"/>
      <c r="AXQ16" s="501"/>
      <c r="AXR16" s="501"/>
      <c r="AXS16" s="501"/>
      <c r="AXT16" s="501"/>
      <c r="AXU16" s="501"/>
      <c r="AXV16" s="501"/>
      <c r="AXW16" s="501"/>
      <c r="AXX16" s="501"/>
      <c r="AXY16" s="501"/>
      <c r="AXZ16" s="501"/>
      <c r="AYA16" s="501"/>
      <c r="AYB16" s="501"/>
      <c r="AYC16" s="501"/>
      <c r="AYD16" s="501"/>
      <c r="AYE16" s="501"/>
      <c r="AYF16" s="501"/>
      <c r="AYG16" s="501"/>
      <c r="AYH16" s="501"/>
      <c r="AYI16" s="501"/>
      <c r="AYJ16" s="501"/>
      <c r="AYK16" s="501"/>
      <c r="AYL16" s="501"/>
      <c r="AYM16" s="501"/>
      <c r="AYN16" s="501"/>
      <c r="AYO16" s="501"/>
      <c r="AYP16" s="501"/>
      <c r="AYQ16" s="501"/>
      <c r="AYR16" s="501"/>
      <c r="AYS16" s="501"/>
      <c r="AYT16" s="501"/>
      <c r="AYU16" s="501"/>
      <c r="AYV16" s="501"/>
      <c r="AYW16" s="501"/>
      <c r="AYX16" s="501"/>
      <c r="AYY16" s="501"/>
      <c r="AYZ16" s="501"/>
      <c r="AZA16" s="501"/>
      <c r="AZB16" s="501"/>
      <c r="AZC16" s="501"/>
      <c r="AZD16" s="501"/>
      <c r="AZE16" s="501"/>
      <c r="AZF16" s="501"/>
      <c r="AZG16" s="501"/>
      <c r="AZH16" s="501"/>
      <c r="AZI16" s="501"/>
      <c r="AZJ16" s="501"/>
      <c r="AZK16" s="501"/>
      <c r="AZL16" s="501"/>
      <c r="AZM16" s="501"/>
      <c r="AZN16" s="501"/>
      <c r="AZO16" s="501"/>
      <c r="AZP16" s="501"/>
      <c r="AZQ16" s="501"/>
      <c r="AZR16" s="501"/>
      <c r="AZS16" s="501"/>
      <c r="AZT16" s="501"/>
      <c r="AZU16" s="501"/>
      <c r="AZV16" s="501"/>
      <c r="AZW16" s="501"/>
      <c r="AZX16" s="501"/>
      <c r="AZY16" s="501"/>
      <c r="AZZ16" s="501"/>
      <c r="BAA16" s="501"/>
      <c r="BAB16" s="501"/>
      <c r="BAC16" s="501"/>
      <c r="BAD16" s="501"/>
      <c r="BAE16" s="501"/>
      <c r="BAF16" s="501"/>
      <c r="BAG16" s="501"/>
      <c r="BAH16" s="501"/>
      <c r="BAI16" s="501"/>
      <c r="BAJ16" s="501"/>
      <c r="BAK16" s="501"/>
      <c r="BAL16" s="501"/>
      <c r="BAM16" s="501"/>
      <c r="BAN16" s="501"/>
      <c r="BAO16" s="501"/>
      <c r="BAP16" s="501"/>
      <c r="BAQ16" s="501"/>
      <c r="BAR16" s="501"/>
      <c r="BAS16" s="501"/>
      <c r="BAT16" s="501"/>
      <c r="BAU16" s="501"/>
      <c r="BAV16" s="501"/>
      <c r="BAW16" s="501"/>
      <c r="BAX16" s="501"/>
      <c r="BAY16" s="501"/>
      <c r="BAZ16" s="501"/>
      <c r="BBA16" s="501"/>
      <c r="BBB16" s="501"/>
      <c r="BBC16" s="501"/>
      <c r="BBD16" s="501"/>
      <c r="BBE16" s="501"/>
      <c r="BBF16" s="501"/>
      <c r="BBG16" s="501"/>
      <c r="BBH16" s="501"/>
      <c r="BBI16" s="501"/>
      <c r="BBJ16" s="501"/>
      <c r="BBK16" s="501"/>
      <c r="BBL16" s="501"/>
      <c r="BBM16" s="501"/>
      <c r="BBN16" s="501"/>
      <c r="BBO16" s="501"/>
      <c r="BBP16" s="501"/>
      <c r="BBQ16" s="501"/>
      <c r="BBR16" s="501"/>
      <c r="BBS16" s="501"/>
      <c r="BBT16" s="501"/>
      <c r="BBU16" s="501"/>
      <c r="BBV16" s="501"/>
      <c r="BBW16" s="501"/>
      <c r="BBX16" s="501"/>
      <c r="BBY16" s="501"/>
      <c r="BBZ16" s="501"/>
      <c r="BCA16" s="501"/>
      <c r="BCB16" s="501"/>
      <c r="BCC16" s="501"/>
      <c r="BCD16" s="501"/>
      <c r="BCE16" s="501"/>
      <c r="BCF16" s="501"/>
      <c r="BCG16" s="501"/>
      <c r="BCH16" s="501"/>
      <c r="BCI16" s="501"/>
      <c r="BCJ16" s="501"/>
      <c r="BCK16" s="501"/>
      <c r="BCL16" s="501"/>
      <c r="BCM16" s="501"/>
      <c r="BCN16" s="501"/>
      <c r="BCO16" s="501"/>
      <c r="BCP16" s="501"/>
      <c r="BCQ16" s="501"/>
      <c r="BCR16" s="501"/>
      <c r="BCS16" s="501"/>
      <c r="BCT16" s="501"/>
      <c r="BCU16" s="501"/>
      <c r="BCV16" s="501"/>
      <c r="BCW16" s="501"/>
      <c r="BCX16" s="501"/>
      <c r="BCY16" s="501"/>
      <c r="BCZ16" s="501"/>
      <c r="BDA16" s="501"/>
      <c r="BDB16" s="501"/>
      <c r="BDC16" s="501"/>
      <c r="BDD16" s="501"/>
      <c r="BDE16" s="501"/>
      <c r="BDF16" s="501"/>
      <c r="BDG16" s="501"/>
      <c r="BDH16" s="501"/>
      <c r="BDI16" s="501"/>
      <c r="BDJ16" s="501"/>
      <c r="BDK16" s="501"/>
      <c r="BDL16" s="501"/>
      <c r="BDM16" s="501"/>
      <c r="BDN16" s="501"/>
      <c r="BDO16" s="501"/>
      <c r="BDP16" s="501"/>
      <c r="BDQ16" s="501"/>
      <c r="BDR16" s="501"/>
      <c r="BDS16" s="501"/>
      <c r="BDT16" s="501"/>
      <c r="BDU16" s="501"/>
      <c r="BDV16" s="501"/>
      <c r="BDW16" s="501"/>
      <c r="BDX16" s="501"/>
      <c r="BDY16" s="501"/>
      <c r="BDZ16" s="501"/>
      <c r="BEA16" s="501"/>
      <c r="BEB16" s="501"/>
      <c r="BEC16" s="501"/>
      <c r="BED16" s="501"/>
      <c r="BEE16" s="501"/>
      <c r="BEF16" s="501"/>
      <c r="BEG16" s="501"/>
      <c r="BEH16" s="501"/>
      <c r="BEI16" s="501"/>
      <c r="BEJ16" s="501"/>
      <c r="BEK16" s="501"/>
      <c r="BEL16" s="501"/>
      <c r="BEM16" s="501"/>
      <c r="BEN16" s="501"/>
      <c r="BEO16" s="501"/>
      <c r="BEP16" s="501"/>
      <c r="BEQ16" s="501"/>
      <c r="BER16" s="501"/>
      <c r="BES16" s="501"/>
      <c r="BET16" s="501"/>
      <c r="BEU16" s="501"/>
      <c r="BEV16" s="501"/>
      <c r="BEW16" s="501"/>
      <c r="BEX16" s="501"/>
      <c r="BEY16" s="501"/>
      <c r="BEZ16" s="501"/>
      <c r="BFA16" s="501"/>
      <c r="BFB16" s="501"/>
      <c r="BFC16" s="501"/>
      <c r="BFD16" s="501"/>
      <c r="BFE16" s="501"/>
      <c r="BFF16" s="501"/>
      <c r="BFG16" s="501"/>
      <c r="BFH16" s="501"/>
      <c r="BFI16" s="501"/>
      <c r="BFJ16" s="501"/>
      <c r="BFK16" s="501"/>
      <c r="BFL16" s="501"/>
      <c r="BFM16" s="501"/>
      <c r="BFN16" s="501"/>
      <c r="BFO16" s="501"/>
      <c r="BFP16" s="501"/>
      <c r="BFQ16" s="501"/>
      <c r="BFR16" s="501"/>
      <c r="BFS16" s="501"/>
      <c r="BFT16" s="501"/>
      <c r="BFU16" s="501"/>
      <c r="BFV16" s="501"/>
      <c r="BFW16" s="501"/>
      <c r="BFX16" s="501"/>
      <c r="BFY16" s="501"/>
      <c r="BFZ16" s="501"/>
      <c r="BGA16" s="501"/>
      <c r="BGB16" s="501"/>
      <c r="BGC16" s="501"/>
      <c r="BGD16" s="501"/>
      <c r="BGE16" s="501"/>
      <c r="BGF16" s="501"/>
      <c r="BGG16" s="501"/>
      <c r="BGH16" s="501"/>
      <c r="BGI16" s="501"/>
      <c r="BGJ16" s="501"/>
      <c r="BGK16" s="501"/>
      <c r="BGL16" s="501"/>
      <c r="BGM16" s="501"/>
      <c r="BGN16" s="501"/>
      <c r="BGO16" s="501"/>
      <c r="BGP16" s="501"/>
      <c r="BGQ16" s="501"/>
      <c r="BGR16" s="501"/>
      <c r="BGS16" s="501"/>
      <c r="BGT16" s="501"/>
      <c r="BGU16" s="501"/>
      <c r="BGV16" s="501"/>
      <c r="BGW16" s="501"/>
      <c r="BGX16" s="501"/>
      <c r="BGY16" s="501"/>
      <c r="BGZ16" s="501"/>
      <c r="BHA16" s="501"/>
      <c r="BHB16" s="501"/>
      <c r="BHC16" s="501"/>
      <c r="BHD16" s="501"/>
      <c r="BHE16" s="501"/>
      <c r="BHF16" s="501"/>
      <c r="BHG16" s="501"/>
      <c r="BHH16" s="501"/>
      <c r="BHI16" s="501"/>
      <c r="BHJ16" s="501"/>
      <c r="BHK16" s="501"/>
      <c r="BHL16" s="501"/>
      <c r="BHM16" s="501"/>
      <c r="BHN16" s="501"/>
      <c r="BHO16" s="501"/>
      <c r="BHP16" s="501"/>
      <c r="BHQ16" s="501"/>
      <c r="BHR16" s="501"/>
      <c r="BHS16" s="501"/>
      <c r="BHT16" s="501"/>
      <c r="BHU16" s="501"/>
      <c r="BHV16" s="501"/>
      <c r="BHW16" s="501"/>
      <c r="BHX16" s="501"/>
      <c r="BHY16" s="501"/>
      <c r="BHZ16" s="501"/>
      <c r="BIA16" s="501"/>
      <c r="BIB16" s="501"/>
      <c r="BIC16" s="501"/>
      <c r="BID16" s="501"/>
      <c r="BIE16" s="501"/>
      <c r="BIF16" s="501"/>
      <c r="BIG16" s="501"/>
      <c r="BIH16" s="501"/>
      <c r="BII16" s="501"/>
      <c r="BIJ16" s="501"/>
      <c r="BIK16" s="501"/>
      <c r="BIL16" s="501"/>
      <c r="BIM16" s="501"/>
      <c r="BIN16" s="501"/>
      <c r="BIO16" s="501"/>
      <c r="BIP16" s="501"/>
      <c r="BIQ16" s="501"/>
      <c r="BIR16" s="501"/>
      <c r="BIS16" s="501"/>
      <c r="BIT16" s="501"/>
      <c r="BIU16" s="501"/>
      <c r="BIV16" s="501"/>
      <c r="BIW16" s="501"/>
      <c r="BIX16" s="501"/>
      <c r="BIY16" s="501"/>
      <c r="BIZ16" s="501"/>
      <c r="BJA16" s="501"/>
      <c r="BJB16" s="501"/>
      <c r="BJC16" s="501"/>
      <c r="BJD16" s="501"/>
      <c r="BJE16" s="501"/>
      <c r="BJF16" s="501"/>
      <c r="BJG16" s="501"/>
      <c r="BJH16" s="501"/>
      <c r="BJI16" s="501"/>
      <c r="BJJ16" s="501"/>
      <c r="BJK16" s="501"/>
      <c r="BJL16" s="501"/>
      <c r="BJM16" s="501"/>
      <c r="BJN16" s="501"/>
      <c r="BJO16" s="501"/>
      <c r="BJP16" s="501"/>
      <c r="BJQ16" s="501"/>
      <c r="BJR16" s="501"/>
      <c r="BJS16" s="501"/>
      <c r="BJT16" s="501"/>
      <c r="BJU16" s="501"/>
      <c r="BJV16" s="501"/>
      <c r="BJW16" s="501"/>
      <c r="BJX16" s="501"/>
      <c r="BJY16" s="501"/>
      <c r="BJZ16" s="501"/>
      <c r="BKA16" s="501"/>
      <c r="BKB16" s="501"/>
      <c r="BKC16" s="501"/>
      <c r="BKD16" s="501"/>
      <c r="BKE16" s="501"/>
      <c r="BKF16" s="501"/>
      <c r="BKG16" s="501"/>
      <c r="BKH16" s="501"/>
      <c r="BKI16" s="501"/>
      <c r="BKJ16" s="501"/>
      <c r="BKK16" s="501"/>
      <c r="BKL16" s="501"/>
      <c r="BKM16" s="501"/>
      <c r="BKN16" s="501"/>
      <c r="BKO16" s="501"/>
      <c r="BKP16" s="501"/>
      <c r="BKQ16" s="501"/>
      <c r="BKR16" s="501"/>
      <c r="BKS16" s="501"/>
      <c r="BKT16" s="501"/>
      <c r="BKU16" s="501"/>
      <c r="BKV16" s="501"/>
      <c r="BKW16" s="501"/>
      <c r="BKX16" s="501"/>
      <c r="BKY16" s="501"/>
      <c r="BKZ16" s="501"/>
      <c r="BLA16" s="501"/>
      <c r="BLB16" s="501"/>
      <c r="BLC16" s="501"/>
      <c r="BLD16" s="501"/>
      <c r="BLE16" s="501"/>
      <c r="BLF16" s="501"/>
      <c r="BLG16" s="501"/>
      <c r="BLH16" s="501"/>
      <c r="BLI16" s="501"/>
      <c r="BLJ16" s="501"/>
      <c r="BLK16" s="501"/>
      <c r="BLL16" s="501"/>
      <c r="BLM16" s="501"/>
      <c r="BLN16" s="501"/>
      <c r="BLO16" s="501"/>
      <c r="BLP16" s="501"/>
      <c r="BLQ16" s="501"/>
      <c r="BLR16" s="501"/>
      <c r="BLS16" s="501"/>
      <c r="BLT16" s="501"/>
      <c r="BLU16" s="501"/>
      <c r="BLV16" s="501"/>
      <c r="BLW16" s="501"/>
      <c r="BLX16" s="501"/>
      <c r="BLY16" s="501"/>
      <c r="BLZ16" s="501"/>
      <c r="BMA16" s="501"/>
      <c r="BMB16" s="501"/>
      <c r="BMC16" s="501"/>
      <c r="BMD16" s="501"/>
      <c r="BME16" s="501"/>
      <c r="BMF16" s="501"/>
      <c r="BMG16" s="501"/>
      <c r="BMH16" s="501"/>
      <c r="BMI16" s="501"/>
      <c r="BMJ16" s="501"/>
      <c r="BMK16" s="501"/>
      <c r="BML16" s="501"/>
      <c r="BMM16" s="501"/>
      <c r="BMN16" s="501"/>
      <c r="BMO16" s="501"/>
      <c r="BMP16" s="501"/>
      <c r="BMQ16" s="501"/>
      <c r="BMR16" s="501"/>
      <c r="BMS16" s="501"/>
      <c r="BMT16" s="501"/>
      <c r="BMU16" s="501"/>
      <c r="BMV16" s="501"/>
      <c r="BMW16" s="501"/>
      <c r="BMX16" s="501"/>
      <c r="BMY16" s="501"/>
      <c r="BMZ16" s="501"/>
      <c r="BNA16" s="501"/>
      <c r="BNB16" s="501"/>
      <c r="BNC16" s="501"/>
      <c r="BND16" s="501"/>
      <c r="BNE16" s="501"/>
      <c r="BNF16" s="501"/>
      <c r="BNG16" s="501"/>
      <c r="BNH16" s="501"/>
      <c r="BNI16" s="501"/>
      <c r="BNJ16" s="501"/>
      <c r="BNK16" s="501"/>
      <c r="BNL16" s="501"/>
      <c r="BNM16" s="501"/>
      <c r="BNN16" s="501"/>
      <c r="BNO16" s="501"/>
      <c r="BNP16" s="501"/>
      <c r="BNQ16" s="501"/>
      <c r="BNR16" s="501"/>
      <c r="BNS16" s="501"/>
      <c r="BNT16" s="501"/>
      <c r="BNU16" s="501"/>
      <c r="BNV16" s="501"/>
      <c r="BNW16" s="501"/>
      <c r="BNX16" s="501"/>
      <c r="BNY16" s="501"/>
      <c r="BNZ16" s="501"/>
      <c r="BOA16" s="501"/>
      <c r="BOB16" s="501"/>
      <c r="BOC16" s="501"/>
      <c r="BOD16" s="501"/>
      <c r="BOE16" s="501"/>
      <c r="BOF16" s="501"/>
      <c r="BOG16" s="501"/>
      <c r="BOH16" s="501"/>
      <c r="BOI16" s="501"/>
      <c r="BOJ16" s="501"/>
      <c r="BOK16" s="501"/>
      <c r="BOL16" s="501"/>
      <c r="BOM16" s="501"/>
      <c r="BON16" s="501"/>
      <c r="BOO16" s="501"/>
      <c r="BOP16" s="501"/>
      <c r="BOQ16" s="501"/>
      <c r="BOR16" s="501"/>
      <c r="BOS16" s="501"/>
      <c r="BOT16" s="501"/>
      <c r="BOU16" s="501"/>
      <c r="BOV16" s="501"/>
      <c r="BOW16" s="501"/>
      <c r="BOX16" s="501"/>
      <c r="BOY16" s="501"/>
      <c r="BOZ16" s="501"/>
      <c r="BPA16" s="501"/>
      <c r="BPB16" s="501"/>
      <c r="BPC16" s="501"/>
      <c r="BPD16" s="501"/>
      <c r="BPE16" s="501"/>
      <c r="BPF16" s="501"/>
      <c r="BPG16" s="501"/>
      <c r="BPH16" s="501"/>
      <c r="BPI16" s="501"/>
      <c r="BPJ16" s="501"/>
      <c r="BPK16" s="501"/>
      <c r="BPL16" s="501"/>
      <c r="BPM16" s="501"/>
      <c r="BPN16" s="501"/>
      <c r="BPO16" s="501"/>
      <c r="BPP16" s="501"/>
      <c r="BPQ16" s="501"/>
      <c r="BPR16" s="501"/>
      <c r="BPS16" s="501"/>
      <c r="BPT16" s="501"/>
      <c r="BPU16" s="501"/>
      <c r="BPV16" s="501"/>
      <c r="BPW16" s="501"/>
      <c r="BPX16" s="501"/>
      <c r="BPY16" s="501"/>
      <c r="BPZ16" s="501"/>
      <c r="BQA16" s="501"/>
      <c r="BQB16" s="501"/>
      <c r="BQC16" s="501"/>
      <c r="BQD16" s="501"/>
      <c r="BQE16" s="501"/>
      <c r="BQF16" s="501"/>
      <c r="BQG16" s="501"/>
      <c r="BQH16" s="501"/>
      <c r="BQI16" s="501"/>
      <c r="BQJ16" s="501"/>
      <c r="BQK16" s="501"/>
      <c r="BQL16" s="501"/>
      <c r="BQM16" s="501"/>
      <c r="BQN16" s="501"/>
      <c r="BQO16" s="501"/>
      <c r="BQP16" s="501"/>
      <c r="BQQ16" s="501"/>
      <c r="BQR16" s="501"/>
      <c r="BQS16" s="501"/>
      <c r="BQT16" s="501"/>
      <c r="BQU16" s="501"/>
      <c r="BQV16" s="501"/>
      <c r="BQW16" s="501"/>
      <c r="BQX16" s="501"/>
      <c r="BQY16" s="501"/>
      <c r="BQZ16" s="501"/>
      <c r="BRA16" s="501"/>
      <c r="BRB16" s="501"/>
      <c r="BRC16" s="501"/>
      <c r="BRD16" s="501"/>
      <c r="BRE16" s="501"/>
      <c r="BRF16" s="501"/>
      <c r="BRG16" s="501"/>
      <c r="BRH16" s="501"/>
      <c r="BRI16" s="501"/>
      <c r="BRJ16" s="501"/>
      <c r="BRK16" s="501"/>
      <c r="BRL16" s="501"/>
      <c r="BRM16" s="501"/>
      <c r="BRN16" s="501"/>
      <c r="BRO16" s="501"/>
      <c r="BRP16" s="501"/>
      <c r="BRQ16" s="501"/>
      <c r="BRR16" s="501"/>
      <c r="BRS16" s="501"/>
      <c r="BRT16" s="501"/>
      <c r="BRU16" s="501"/>
      <c r="BRV16" s="501"/>
      <c r="BRW16" s="501"/>
      <c r="BRX16" s="501"/>
      <c r="BRY16" s="501"/>
      <c r="BRZ16" s="501"/>
      <c r="BSA16" s="501"/>
      <c r="BSB16" s="501"/>
      <c r="BSC16" s="501"/>
    </row>
    <row r="17" spans="1:1849" s="502" customFormat="1" ht="15" x14ac:dyDescent="0.2">
      <c r="A17" s="503">
        <v>16</v>
      </c>
      <c r="B17" s="504" t="s">
        <v>25</v>
      </c>
      <c r="C17" s="548" t="s">
        <v>429</v>
      </c>
      <c r="D17" s="504" t="s">
        <v>26</v>
      </c>
      <c r="E17" s="504" t="s">
        <v>27</v>
      </c>
      <c r="F17" s="505">
        <v>30</v>
      </c>
      <c r="G17" s="505">
        <v>30</v>
      </c>
      <c r="H17" s="505">
        <v>15.2</v>
      </c>
      <c r="I17" s="505">
        <v>30</v>
      </c>
      <c r="J17" s="504">
        <v>1</v>
      </c>
      <c r="K17" s="504">
        <f t="shared" si="0"/>
        <v>900</v>
      </c>
      <c r="L17" s="504" t="s">
        <v>28</v>
      </c>
      <c r="M17" s="509" t="s">
        <v>347</v>
      </c>
      <c r="N17" s="510" t="s">
        <v>33</v>
      </c>
      <c r="O17" s="504">
        <v>79.030552999999998</v>
      </c>
      <c r="P17" s="506">
        <v>70000</v>
      </c>
      <c r="Q17" s="505">
        <v>80000</v>
      </c>
      <c r="R17" s="505">
        <v>130000</v>
      </c>
      <c r="S17" s="501"/>
      <c r="T17" s="501"/>
      <c r="U17" s="501"/>
      <c r="V17" s="501"/>
      <c r="W17" s="501"/>
      <c r="X17" s="501"/>
      <c r="Y17" s="501"/>
      <c r="Z17" s="501"/>
      <c r="AA17" s="501"/>
      <c r="AB17" s="501"/>
      <c r="AC17" s="501"/>
      <c r="AD17" s="501"/>
      <c r="AE17" s="501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  <c r="AQ17" s="501"/>
      <c r="AR17" s="501"/>
      <c r="AS17" s="501"/>
      <c r="AT17" s="501"/>
      <c r="AU17" s="501"/>
      <c r="AV17" s="501"/>
      <c r="AW17" s="501"/>
      <c r="AX17" s="501"/>
      <c r="AY17" s="501"/>
      <c r="AZ17" s="501"/>
      <c r="BA17" s="501"/>
      <c r="BB17" s="501"/>
      <c r="BC17" s="501"/>
      <c r="BD17" s="501"/>
      <c r="BE17" s="501"/>
      <c r="BF17" s="501"/>
      <c r="BG17" s="501"/>
      <c r="BH17" s="501"/>
      <c r="BI17" s="501"/>
      <c r="BJ17" s="501"/>
      <c r="BK17" s="501"/>
      <c r="BL17" s="501"/>
      <c r="BM17" s="501"/>
      <c r="BN17" s="501"/>
      <c r="BO17" s="501"/>
      <c r="BP17" s="501"/>
      <c r="BQ17" s="501"/>
      <c r="BR17" s="501"/>
      <c r="BS17" s="501"/>
      <c r="BT17" s="501"/>
      <c r="BU17" s="501"/>
      <c r="BV17" s="501"/>
      <c r="BW17" s="501"/>
      <c r="BX17" s="501"/>
      <c r="BY17" s="501"/>
      <c r="BZ17" s="501"/>
      <c r="CA17" s="501"/>
      <c r="CB17" s="501"/>
      <c r="CC17" s="501"/>
      <c r="CD17" s="501"/>
      <c r="CE17" s="501"/>
      <c r="CF17" s="501"/>
      <c r="CG17" s="501"/>
      <c r="CH17" s="501"/>
      <c r="CI17" s="501"/>
      <c r="CJ17" s="501"/>
      <c r="CK17" s="501"/>
      <c r="CL17" s="501"/>
      <c r="CM17" s="501"/>
      <c r="CN17" s="501"/>
      <c r="CO17" s="501"/>
      <c r="CP17" s="501"/>
      <c r="CQ17" s="501"/>
      <c r="CR17" s="501"/>
      <c r="CS17" s="501"/>
      <c r="CT17" s="501"/>
      <c r="CU17" s="501"/>
      <c r="CV17" s="501"/>
      <c r="CW17" s="501"/>
      <c r="CX17" s="501"/>
      <c r="CY17" s="501"/>
      <c r="CZ17" s="501"/>
      <c r="DA17" s="501"/>
      <c r="DB17" s="501"/>
      <c r="DC17" s="501"/>
      <c r="DD17" s="501"/>
      <c r="DE17" s="501"/>
      <c r="DF17" s="501"/>
      <c r="DG17" s="501"/>
      <c r="DH17" s="501"/>
      <c r="DI17" s="501"/>
      <c r="DJ17" s="501"/>
      <c r="DK17" s="501"/>
      <c r="DL17" s="501"/>
      <c r="DM17" s="501"/>
      <c r="DN17" s="501"/>
      <c r="DO17" s="501"/>
      <c r="DP17" s="501"/>
      <c r="DQ17" s="501"/>
      <c r="DR17" s="501"/>
      <c r="DS17" s="501"/>
      <c r="DT17" s="501"/>
      <c r="DU17" s="501"/>
      <c r="DV17" s="501"/>
      <c r="DW17" s="501"/>
      <c r="DX17" s="501"/>
      <c r="DY17" s="501"/>
      <c r="DZ17" s="501"/>
      <c r="EA17" s="501"/>
      <c r="EB17" s="501"/>
      <c r="EC17" s="501"/>
      <c r="ED17" s="501"/>
      <c r="EE17" s="501"/>
      <c r="EF17" s="501"/>
      <c r="EG17" s="501"/>
      <c r="EH17" s="501"/>
      <c r="EI17" s="501"/>
      <c r="EJ17" s="501"/>
      <c r="EK17" s="501"/>
      <c r="EL17" s="501"/>
      <c r="EM17" s="501"/>
      <c r="EN17" s="501"/>
      <c r="EO17" s="501"/>
      <c r="EP17" s="501"/>
      <c r="EQ17" s="501"/>
      <c r="ER17" s="501"/>
      <c r="ES17" s="501"/>
      <c r="ET17" s="501"/>
      <c r="EU17" s="501"/>
      <c r="EV17" s="501"/>
      <c r="EW17" s="501"/>
      <c r="EX17" s="501"/>
      <c r="EY17" s="501"/>
      <c r="EZ17" s="501"/>
      <c r="FA17" s="501"/>
      <c r="FB17" s="501"/>
      <c r="FC17" s="501"/>
      <c r="FD17" s="501"/>
      <c r="FE17" s="501"/>
      <c r="FF17" s="501"/>
      <c r="FG17" s="501"/>
      <c r="FH17" s="501"/>
      <c r="FI17" s="501"/>
      <c r="FJ17" s="501"/>
      <c r="FK17" s="501"/>
      <c r="FL17" s="501"/>
      <c r="FM17" s="501"/>
      <c r="FN17" s="501"/>
      <c r="FO17" s="501"/>
      <c r="FP17" s="501"/>
      <c r="FQ17" s="501"/>
      <c r="FR17" s="501"/>
      <c r="FS17" s="501"/>
      <c r="FT17" s="501"/>
      <c r="FU17" s="501"/>
      <c r="FV17" s="501"/>
      <c r="FW17" s="501"/>
      <c r="FX17" s="501"/>
      <c r="FY17" s="501"/>
      <c r="FZ17" s="501"/>
      <c r="GA17" s="501"/>
      <c r="GB17" s="501"/>
      <c r="GC17" s="501"/>
      <c r="GD17" s="501"/>
      <c r="GE17" s="501"/>
      <c r="GF17" s="501"/>
      <c r="GG17" s="501"/>
      <c r="GH17" s="501"/>
      <c r="GI17" s="501"/>
      <c r="GJ17" s="501"/>
      <c r="GK17" s="501"/>
      <c r="GL17" s="501"/>
      <c r="GM17" s="501"/>
      <c r="GN17" s="501"/>
      <c r="GO17" s="501"/>
      <c r="GP17" s="501"/>
      <c r="GQ17" s="501"/>
      <c r="GR17" s="501"/>
      <c r="GS17" s="501"/>
      <c r="GT17" s="501"/>
      <c r="GU17" s="501"/>
      <c r="GV17" s="501"/>
      <c r="GW17" s="501"/>
      <c r="GX17" s="501"/>
      <c r="GY17" s="501"/>
      <c r="GZ17" s="501"/>
      <c r="HA17" s="501"/>
      <c r="HB17" s="501"/>
      <c r="HC17" s="501"/>
      <c r="HD17" s="501"/>
      <c r="HE17" s="501"/>
      <c r="HF17" s="501"/>
      <c r="HG17" s="501"/>
      <c r="HH17" s="501"/>
      <c r="HI17" s="501"/>
      <c r="HJ17" s="501"/>
      <c r="HK17" s="501"/>
      <c r="HL17" s="501"/>
      <c r="HM17" s="501"/>
      <c r="HN17" s="501"/>
      <c r="HO17" s="501"/>
      <c r="HP17" s="501"/>
      <c r="HQ17" s="501"/>
      <c r="HR17" s="501"/>
      <c r="HS17" s="501"/>
      <c r="HT17" s="501"/>
      <c r="HU17" s="501"/>
      <c r="HV17" s="501"/>
      <c r="HW17" s="501"/>
      <c r="HX17" s="501"/>
      <c r="HY17" s="501"/>
      <c r="HZ17" s="501"/>
      <c r="IA17" s="501"/>
      <c r="IB17" s="501"/>
      <c r="IC17" s="501"/>
      <c r="ID17" s="501"/>
      <c r="IE17" s="501"/>
      <c r="IF17" s="501"/>
      <c r="IG17" s="501"/>
      <c r="IH17" s="501"/>
      <c r="II17" s="501"/>
      <c r="IJ17" s="501"/>
      <c r="IK17" s="501"/>
      <c r="IL17" s="501"/>
      <c r="IM17" s="501"/>
      <c r="IN17" s="501"/>
      <c r="IO17" s="501"/>
      <c r="IP17" s="501"/>
      <c r="IQ17" s="501"/>
      <c r="IR17" s="501"/>
      <c r="IS17" s="501"/>
      <c r="IT17" s="501"/>
      <c r="IU17" s="501"/>
      <c r="IV17" s="501"/>
      <c r="IW17" s="501"/>
      <c r="IX17" s="501"/>
      <c r="IY17" s="501"/>
      <c r="IZ17" s="501"/>
      <c r="JA17" s="501"/>
      <c r="JB17" s="501"/>
      <c r="JC17" s="501"/>
      <c r="JD17" s="501"/>
      <c r="JE17" s="501"/>
      <c r="JF17" s="501"/>
      <c r="JG17" s="501"/>
      <c r="JH17" s="501"/>
      <c r="JI17" s="501"/>
      <c r="JJ17" s="501"/>
      <c r="JK17" s="501"/>
      <c r="JL17" s="501"/>
      <c r="JM17" s="501"/>
      <c r="JN17" s="501"/>
      <c r="JO17" s="501"/>
      <c r="JP17" s="501"/>
      <c r="JQ17" s="501"/>
      <c r="JR17" s="501"/>
      <c r="JS17" s="501"/>
      <c r="JT17" s="501"/>
      <c r="JU17" s="501"/>
      <c r="JV17" s="501"/>
      <c r="JW17" s="501"/>
      <c r="JX17" s="501"/>
      <c r="JY17" s="501"/>
      <c r="JZ17" s="501"/>
      <c r="KA17" s="501"/>
      <c r="KB17" s="501"/>
      <c r="KC17" s="501"/>
      <c r="KD17" s="501"/>
      <c r="KE17" s="501"/>
      <c r="KF17" s="501"/>
      <c r="KG17" s="501"/>
      <c r="KH17" s="501"/>
      <c r="KI17" s="501"/>
      <c r="KJ17" s="501"/>
      <c r="KK17" s="501"/>
      <c r="KL17" s="501"/>
      <c r="KM17" s="501"/>
      <c r="KN17" s="501"/>
      <c r="KO17" s="501"/>
      <c r="KP17" s="501"/>
      <c r="KQ17" s="501"/>
      <c r="KR17" s="501"/>
      <c r="KS17" s="501"/>
      <c r="KT17" s="501"/>
      <c r="KU17" s="501"/>
      <c r="KV17" s="501"/>
      <c r="KW17" s="501"/>
      <c r="KX17" s="501"/>
      <c r="KY17" s="501"/>
      <c r="KZ17" s="501"/>
      <c r="LA17" s="501"/>
      <c r="LB17" s="501"/>
      <c r="LC17" s="501"/>
      <c r="LD17" s="501"/>
      <c r="LE17" s="501"/>
      <c r="LF17" s="501"/>
      <c r="LG17" s="501"/>
      <c r="LH17" s="501"/>
      <c r="LI17" s="501"/>
      <c r="LJ17" s="501"/>
      <c r="LK17" s="501"/>
      <c r="LL17" s="501"/>
      <c r="LM17" s="501"/>
      <c r="LN17" s="501"/>
      <c r="LO17" s="501"/>
      <c r="LP17" s="501"/>
      <c r="LQ17" s="501"/>
      <c r="LR17" s="501"/>
      <c r="LS17" s="501"/>
      <c r="LT17" s="501"/>
      <c r="LU17" s="501"/>
      <c r="LV17" s="501"/>
      <c r="LW17" s="501"/>
      <c r="LX17" s="501"/>
      <c r="LY17" s="501"/>
      <c r="LZ17" s="501"/>
      <c r="MA17" s="501"/>
      <c r="MB17" s="501"/>
      <c r="MC17" s="501"/>
      <c r="MD17" s="501"/>
      <c r="ME17" s="501"/>
      <c r="MF17" s="501"/>
      <c r="MG17" s="501"/>
      <c r="MH17" s="501"/>
      <c r="MI17" s="501"/>
      <c r="MJ17" s="501"/>
      <c r="MK17" s="501"/>
      <c r="ML17" s="501"/>
      <c r="MM17" s="501"/>
      <c r="MN17" s="501"/>
      <c r="MO17" s="501"/>
      <c r="MP17" s="501"/>
      <c r="MQ17" s="501"/>
      <c r="MR17" s="501"/>
      <c r="MS17" s="501"/>
      <c r="MT17" s="501"/>
      <c r="MU17" s="501"/>
      <c r="MV17" s="501"/>
      <c r="MW17" s="501"/>
      <c r="MX17" s="501"/>
      <c r="MY17" s="501"/>
      <c r="MZ17" s="501"/>
      <c r="NA17" s="501"/>
      <c r="NB17" s="501"/>
      <c r="NC17" s="501"/>
      <c r="ND17" s="501"/>
      <c r="NE17" s="501"/>
      <c r="NF17" s="501"/>
      <c r="NG17" s="501"/>
      <c r="NH17" s="501"/>
      <c r="NI17" s="501"/>
      <c r="NJ17" s="501"/>
      <c r="NK17" s="501"/>
      <c r="NL17" s="501"/>
      <c r="NM17" s="501"/>
      <c r="NN17" s="501"/>
      <c r="NO17" s="501"/>
      <c r="NP17" s="501"/>
      <c r="NQ17" s="501"/>
      <c r="NR17" s="501"/>
      <c r="NS17" s="501"/>
      <c r="NT17" s="501"/>
      <c r="NU17" s="501"/>
      <c r="NV17" s="501"/>
      <c r="NW17" s="501"/>
      <c r="NX17" s="501"/>
      <c r="NY17" s="501"/>
      <c r="NZ17" s="501"/>
      <c r="OA17" s="501"/>
      <c r="OB17" s="501"/>
      <c r="OC17" s="501"/>
      <c r="OD17" s="501"/>
      <c r="OE17" s="501"/>
      <c r="OF17" s="501"/>
      <c r="OG17" s="501"/>
      <c r="OH17" s="501"/>
      <c r="OI17" s="501"/>
      <c r="OJ17" s="501"/>
      <c r="OK17" s="501"/>
      <c r="OL17" s="501"/>
      <c r="OM17" s="501"/>
      <c r="ON17" s="501"/>
      <c r="OO17" s="501"/>
      <c r="OP17" s="501"/>
      <c r="OQ17" s="501"/>
      <c r="OR17" s="501"/>
      <c r="OS17" s="501"/>
      <c r="OT17" s="501"/>
      <c r="OU17" s="501"/>
      <c r="OV17" s="501"/>
      <c r="OW17" s="501"/>
      <c r="OX17" s="501"/>
      <c r="OY17" s="501"/>
      <c r="OZ17" s="501"/>
      <c r="PA17" s="501"/>
      <c r="PB17" s="501"/>
      <c r="PC17" s="501"/>
      <c r="PD17" s="501"/>
      <c r="PE17" s="501"/>
      <c r="PF17" s="501"/>
      <c r="PG17" s="501"/>
      <c r="PH17" s="501"/>
      <c r="PI17" s="501"/>
      <c r="PJ17" s="501"/>
      <c r="PK17" s="501"/>
      <c r="PL17" s="501"/>
      <c r="PM17" s="501"/>
      <c r="PN17" s="501"/>
      <c r="PO17" s="501"/>
      <c r="PP17" s="501"/>
      <c r="PQ17" s="501"/>
      <c r="PR17" s="501"/>
      <c r="PS17" s="501"/>
      <c r="PT17" s="501"/>
      <c r="PU17" s="501"/>
      <c r="PV17" s="501"/>
      <c r="PW17" s="501"/>
      <c r="PX17" s="501"/>
      <c r="PY17" s="501"/>
      <c r="PZ17" s="501"/>
      <c r="QA17" s="501"/>
      <c r="QB17" s="501"/>
      <c r="QC17" s="501"/>
      <c r="QD17" s="501"/>
      <c r="QE17" s="501"/>
      <c r="QF17" s="501"/>
      <c r="QG17" s="501"/>
      <c r="QH17" s="501"/>
      <c r="QI17" s="501"/>
      <c r="QJ17" s="501"/>
      <c r="QK17" s="501"/>
      <c r="QL17" s="501"/>
      <c r="QM17" s="501"/>
      <c r="QN17" s="501"/>
      <c r="QO17" s="501"/>
      <c r="QP17" s="501"/>
      <c r="QQ17" s="501"/>
      <c r="QR17" s="501"/>
      <c r="QS17" s="501"/>
      <c r="QT17" s="501"/>
      <c r="QU17" s="501"/>
      <c r="QV17" s="501"/>
      <c r="QW17" s="501"/>
      <c r="QX17" s="501"/>
      <c r="QY17" s="501"/>
      <c r="QZ17" s="501"/>
      <c r="RA17" s="501"/>
      <c r="RB17" s="501"/>
      <c r="RC17" s="501"/>
      <c r="RD17" s="501"/>
      <c r="RE17" s="501"/>
      <c r="RF17" s="501"/>
      <c r="RG17" s="501"/>
      <c r="RH17" s="501"/>
      <c r="RI17" s="501"/>
      <c r="RJ17" s="501"/>
      <c r="RK17" s="501"/>
      <c r="RL17" s="501"/>
      <c r="RM17" s="501"/>
      <c r="RN17" s="501"/>
      <c r="RO17" s="501"/>
      <c r="RP17" s="501"/>
      <c r="RQ17" s="501"/>
      <c r="RR17" s="501"/>
      <c r="RS17" s="501"/>
      <c r="RT17" s="501"/>
      <c r="RU17" s="501"/>
      <c r="RV17" s="501"/>
      <c r="RW17" s="501"/>
      <c r="RX17" s="501"/>
      <c r="RY17" s="501"/>
      <c r="RZ17" s="501"/>
      <c r="SA17" s="501"/>
      <c r="SB17" s="501"/>
      <c r="SC17" s="501"/>
      <c r="SD17" s="501"/>
      <c r="SE17" s="501"/>
      <c r="SF17" s="501"/>
      <c r="SG17" s="501"/>
      <c r="SH17" s="501"/>
      <c r="SI17" s="501"/>
      <c r="SJ17" s="501"/>
      <c r="SK17" s="501"/>
      <c r="SL17" s="501"/>
      <c r="SM17" s="501"/>
      <c r="SN17" s="501"/>
      <c r="SO17" s="501"/>
      <c r="SP17" s="501"/>
      <c r="SQ17" s="501"/>
      <c r="SR17" s="501"/>
      <c r="SS17" s="501"/>
      <c r="ST17" s="501"/>
      <c r="SU17" s="501"/>
      <c r="SV17" s="501"/>
      <c r="SW17" s="501"/>
      <c r="SX17" s="501"/>
      <c r="SY17" s="501"/>
      <c r="SZ17" s="501"/>
      <c r="TA17" s="501"/>
      <c r="TB17" s="501"/>
      <c r="TC17" s="501"/>
      <c r="TD17" s="501"/>
      <c r="TE17" s="501"/>
      <c r="TF17" s="501"/>
      <c r="TG17" s="501"/>
      <c r="TH17" s="501"/>
      <c r="TI17" s="501"/>
      <c r="TJ17" s="501"/>
      <c r="TK17" s="501"/>
      <c r="TL17" s="501"/>
      <c r="TM17" s="501"/>
      <c r="TN17" s="501"/>
      <c r="TO17" s="501"/>
      <c r="TP17" s="501"/>
      <c r="TQ17" s="501"/>
      <c r="TR17" s="501"/>
      <c r="TS17" s="501"/>
      <c r="TT17" s="501"/>
      <c r="TU17" s="501"/>
      <c r="TV17" s="501"/>
      <c r="TW17" s="501"/>
      <c r="TX17" s="501"/>
      <c r="TY17" s="501"/>
      <c r="TZ17" s="501"/>
      <c r="UA17" s="501"/>
      <c r="UB17" s="501"/>
      <c r="UC17" s="501"/>
      <c r="UD17" s="501"/>
      <c r="UE17" s="501"/>
      <c r="UF17" s="501"/>
      <c r="UG17" s="501"/>
      <c r="UH17" s="501"/>
      <c r="UI17" s="501"/>
      <c r="UJ17" s="501"/>
      <c r="UK17" s="501"/>
      <c r="UL17" s="501"/>
      <c r="UM17" s="501"/>
      <c r="UN17" s="501"/>
      <c r="UO17" s="501"/>
      <c r="UP17" s="501"/>
      <c r="UQ17" s="501"/>
      <c r="UR17" s="501"/>
      <c r="US17" s="501"/>
      <c r="UT17" s="501"/>
      <c r="UU17" s="501"/>
      <c r="UV17" s="501"/>
      <c r="UW17" s="501"/>
      <c r="UX17" s="501"/>
      <c r="UY17" s="501"/>
      <c r="UZ17" s="501"/>
      <c r="VA17" s="501"/>
      <c r="VB17" s="501"/>
      <c r="VC17" s="501"/>
      <c r="VD17" s="501"/>
      <c r="VE17" s="501"/>
      <c r="VF17" s="501"/>
      <c r="VG17" s="501"/>
      <c r="VH17" s="501"/>
      <c r="VI17" s="501"/>
      <c r="VJ17" s="501"/>
      <c r="VK17" s="501"/>
      <c r="VL17" s="501"/>
      <c r="VM17" s="501"/>
      <c r="VN17" s="501"/>
      <c r="VO17" s="501"/>
      <c r="VP17" s="501"/>
      <c r="VQ17" s="501"/>
      <c r="VR17" s="501"/>
      <c r="VS17" s="501"/>
      <c r="VT17" s="501"/>
      <c r="VU17" s="501"/>
      <c r="VV17" s="501"/>
      <c r="VW17" s="501"/>
      <c r="VX17" s="501"/>
      <c r="VY17" s="501"/>
      <c r="VZ17" s="501"/>
      <c r="WA17" s="501"/>
      <c r="WB17" s="501"/>
      <c r="WC17" s="501"/>
      <c r="WD17" s="501"/>
      <c r="WE17" s="501"/>
      <c r="WF17" s="501"/>
      <c r="WG17" s="501"/>
      <c r="WH17" s="501"/>
      <c r="WI17" s="501"/>
      <c r="WJ17" s="501"/>
      <c r="WK17" s="501"/>
      <c r="WL17" s="501"/>
      <c r="WM17" s="501"/>
      <c r="WN17" s="501"/>
      <c r="WO17" s="501"/>
      <c r="WP17" s="501"/>
      <c r="WQ17" s="501"/>
      <c r="WR17" s="501"/>
      <c r="WS17" s="501"/>
      <c r="WT17" s="501"/>
      <c r="WU17" s="501"/>
      <c r="WV17" s="501"/>
      <c r="WW17" s="501"/>
      <c r="WX17" s="501"/>
      <c r="WY17" s="501"/>
      <c r="WZ17" s="501"/>
      <c r="XA17" s="501"/>
      <c r="XB17" s="501"/>
      <c r="XC17" s="501"/>
      <c r="XD17" s="501"/>
      <c r="XE17" s="501"/>
      <c r="XF17" s="501"/>
      <c r="XG17" s="501"/>
      <c r="XH17" s="501"/>
      <c r="XI17" s="501"/>
      <c r="XJ17" s="501"/>
      <c r="XK17" s="501"/>
      <c r="XL17" s="501"/>
      <c r="XM17" s="501"/>
      <c r="XN17" s="501"/>
      <c r="XO17" s="501"/>
      <c r="XP17" s="501"/>
      <c r="XQ17" s="501"/>
      <c r="XR17" s="501"/>
      <c r="XS17" s="501"/>
      <c r="XT17" s="501"/>
      <c r="XU17" s="501"/>
      <c r="XV17" s="501"/>
      <c r="XW17" s="501"/>
      <c r="XX17" s="501"/>
      <c r="XY17" s="501"/>
      <c r="XZ17" s="501"/>
      <c r="YA17" s="501"/>
      <c r="YB17" s="501"/>
      <c r="YC17" s="501"/>
      <c r="YD17" s="501"/>
      <c r="YE17" s="501"/>
      <c r="YF17" s="501"/>
      <c r="YG17" s="501"/>
      <c r="YH17" s="501"/>
      <c r="YI17" s="501"/>
      <c r="YJ17" s="501"/>
      <c r="YK17" s="501"/>
      <c r="YL17" s="501"/>
      <c r="YM17" s="501"/>
      <c r="YN17" s="501"/>
      <c r="YO17" s="501"/>
      <c r="YP17" s="501"/>
      <c r="YQ17" s="501"/>
      <c r="YR17" s="501"/>
      <c r="YS17" s="501"/>
      <c r="YT17" s="501"/>
      <c r="YU17" s="501"/>
      <c r="YV17" s="501"/>
      <c r="YW17" s="501"/>
      <c r="YX17" s="501"/>
      <c r="YY17" s="501"/>
      <c r="YZ17" s="501"/>
      <c r="ZA17" s="501"/>
      <c r="ZB17" s="501"/>
      <c r="ZC17" s="501"/>
      <c r="ZD17" s="501"/>
      <c r="ZE17" s="501"/>
      <c r="ZF17" s="501"/>
      <c r="ZG17" s="501"/>
      <c r="ZH17" s="501"/>
      <c r="ZI17" s="501"/>
      <c r="ZJ17" s="501"/>
      <c r="ZK17" s="501"/>
      <c r="ZL17" s="501"/>
      <c r="ZM17" s="501"/>
      <c r="ZN17" s="501"/>
      <c r="ZO17" s="501"/>
      <c r="ZP17" s="501"/>
      <c r="ZQ17" s="501"/>
      <c r="ZR17" s="501"/>
      <c r="ZS17" s="501"/>
      <c r="ZT17" s="501"/>
      <c r="ZU17" s="501"/>
      <c r="ZV17" s="501"/>
      <c r="ZW17" s="501"/>
      <c r="ZX17" s="501"/>
      <c r="ZY17" s="501"/>
      <c r="ZZ17" s="501"/>
      <c r="AAA17" s="501"/>
      <c r="AAB17" s="501"/>
      <c r="AAC17" s="501"/>
      <c r="AAD17" s="501"/>
      <c r="AAE17" s="501"/>
      <c r="AAF17" s="501"/>
      <c r="AAG17" s="501"/>
      <c r="AAH17" s="501"/>
      <c r="AAI17" s="501"/>
      <c r="AAJ17" s="501"/>
      <c r="AAK17" s="501"/>
      <c r="AAL17" s="501"/>
      <c r="AAM17" s="501"/>
      <c r="AAN17" s="501"/>
      <c r="AAO17" s="501"/>
      <c r="AAP17" s="501"/>
      <c r="AAQ17" s="501"/>
      <c r="AAR17" s="501"/>
      <c r="AAS17" s="501"/>
      <c r="AAT17" s="501"/>
      <c r="AAU17" s="501"/>
      <c r="AAV17" s="501"/>
      <c r="AAW17" s="501"/>
      <c r="AAX17" s="501"/>
      <c r="AAY17" s="501"/>
      <c r="AAZ17" s="501"/>
      <c r="ABA17" s="501"/>
      <c r="ABB17" s="501"/>
      <c r="ABC17" s="501"/>
      <c r="ABD17" s="501"/>
      <c r="ABE17" s="501"/>
      <c r="ABF17" s="501"/>
      <c r="ABG17" s="501"/>
      <c r="ABH17" s="501"/>
      <c r="ABI17" s="501"/>
      <c r="ABJ17" s="501"/>
      <c r="ABK17" s="501"/>
      <c r="ABL17" s="501"/>
      <c r="ABM17" s="501"/>
      <c r="ABN17" s="501"/>
      <c r="ABO17" s="501"/>
      <c r="ABP17" s="501"/>
      <c r="ABQ17" s="501"/>
      <c r="ABR17" s="501"/>
      <c r="ABS17" s="501"/>
      <c r="ABT17" s="501"/>
      <c r="ABU17" s="501"/>
      <c r="ABV17" s="501"/>
      <c r="ABW17" s="501"/>
      <c r="ABX17" s="501"/>
      <c r="ABY17" s="501"/>
      <c r="ABZ17" s="501"/>
      <c r="ACA17" s="501"/>
      <c r="ACB17" s="501"/>
      <c r="ACC17" s="501"/>
      <c r="ACD17" s="501"/>
      <c r="ACE17" s="501"/>
      <c r="ACF17" s="501"/>
      <c r="ACG17" s="501"/>
      <c r="ACH17" s="501"/>
      <c r="ACI17" s="501"/>
      <c r="ACJ17" s="501"/>
      <c r="ACK17" s="501"/>
      <c r="ACL17" s="501"/>
      <c r="ACM17" s="501"/>
      <c r="ACN17" s="501"/>
      <c r="ACO17" s="501"/>
      <c r="ACP17" s="501"/>
      <c r="ACQ17" s="501"/>
      <c r="ACR17" s="501"/>
      <c r="ACS17" s="501"/>
      <c r="ACT17" s="501"/>
      <c r="ACU17" s="501"/>
      <c r="ACV17" s="501"/>
      <c r="ACW17" s="501"/>
      <c r="ACX17" s="501"/>
      <c r="ACY17" s="501"/>
      <c r="ACZ17" s="501"/>
      <c r="ADA17" s="501"/>
      <c r="ADB17" s="501"/>
      <c r="ADC17" s="501"/>
      <c r="ADD17" s="501"/>
      <c r="ADE17" s="501"/>
      <c r="ADF17" s="501"/>
      <c r="ADG17" s="501"/>
      <c r="ADH17" s="501"/>
      <c r="ADI17" s="501"/>
      <c r="ADJ17" s="501"/>
      <c r="ADK17" s="501"/>
      <c r="ADL17" s="501"/>
      <c r="ADM17" s="501"/>
      <c r="ADN17" s="501"/>
      <c r="ADO17" s="501"/>
      <c r="ADP17" s="501"/>
      <c r="ADQ17" s="501"/>
      <c r="ADR17" s="501"/>
      <c r="ADS17" s="501"/>
      <c r="ADT17" s="501"/>
      <c r="ADU17" s="501"/>
      <c r="ADV17" s="501"/>
      <c r="ADW17" s="501"/>
      <c r="ADX17" s="501"/>
      <c r="ADY17" s="501"/>
      <c r="ADZ17" s="501"/>
      <c r="AEA17" s="501"/>
      <c r="AEB17" s="501"/>
      <c r="AEC17" s="501"/>
      <c r="AED17" s="501"/>
      <c r="AEE17" s="501"/>
      <c r="AEF17" s="501"/>
      <c r="AEG17" s="501"/>
      <c r="AEH17" s="501"/>
      <c r="AEI17" s="501"/>
      <c r="AEJ17" s="501"/>
      <c r="AEK17" s="501"/>
      <c r="AEL17" s="501"/>
      <c r="AEM17" s="501"/>
      <c r="AEN17" s="501"/>
      <c r="AEO17" s="501"/>
      <c r="AEP17" s="501"/>
      <c r="AEQ17" s="501"/>
      <c r="AER17" s="501"/>
      <c r="AES17" s="501"/>
      <c r="AET17" s="501"/>
      <c r="AEU17" s="501"/>
      <c r="AEV17" s="501"/>
      <c r="AEW17" s="501"/>
      <c r="AEX17" s="501"/>
      <c r="AEY17" s="501"/>
      <c r="AEZ17" s="501"/>
      <c r="AFA17" s="501"/>
      <c r="AFB17" s="501"/>
      <c r="AFC17" s="501"/>
      <c r="AFD17" s="501"/>
      <c r="AFE17" s="501"/>
      <c r="AFF17" s="501"/>
      <c r="AFG17" s="501"/>
      <c r="AFH17" s="501"/>
      <c r="AFI17" s="501"/>
      <c r="AFJ17" s="501"/>
      <c r="AFK17" s="501"/>
      <c r="AFL17" s="501"/>
      <c r="AFM17" s="501"/>
      <c r="AFN17" s="501"/>
      <c r="AFO17" s="501"/>
      <c r="AFP17" s="501"/>
      <c r="AFQ17" s="501"/>
      <c r="AFR17" s="501"/>
      <c r="AFS17" s="501"/>
      <c r="AFT17" s="501"/>
      <c r="AFU17" s="501"/>
      <c r="AFV17" s="501"/>
      <c r="AFW17" s="501"/>
      <c r="AFX17" s="501"/>
      <c r="AFY17" s="501"/>
      <c r="AFZ17" s="501"/>
      <c r="AGA17" s="501"/>
      <c r="AGB17" s="501"/>
      <c r="AGC17" s="501"/>
      <c r="AGD17" s="501"/>
      <c r="AGE17" s="501"/>
      <c r="AGF17" s="501"/>
      <c r="AGG17" s="501"/>
      <c r="AGH17" s="501"/>
      <c r="AGI17" s="501"/>
      <c r="AGJ17" s="501"/>
      <c r="AGK17" s="501"/>
      <c r="AGL17" s="501"/>
      <c r="AGM17" s="501"/>
      <c r="AGN17" s="501"/>
      <c r="AGO17" s="501"/>
      <c r="AGP17" s="501"/>
      <c r="AGQ17" s="501"/>
      <c r="AGR17" s="501"/>
      <c r="AGS17" s="501"/>
      <c r="AGT17" s="501"/>
      <c r="AGU17" s="501"/>
      <c r="AGV17" s="501"/>
      <c r="AGW17" s="501"/>
      <c r="AGX17" s="501"/>
      <c r="AGY17" s="501"/>
      <c r="AGZ17" s="501"/>
      <c r="AHA17" s="501"/>
      <c r="AHB17" s="501"/>
      <c r="AHC17" s="501"/>
      <c r="AHD17" s="501"/>
      <c r="AHE17" s="501"/>
      <c r="AHF17" s="501"/>
      <c r="AHG17" s="501"/>
      <c r="AHH17" s="501"/>
      <c r="AHI17" s="501"/>
      <c r="AHJ17" s="501"/>
      <c r="AHK17" s="501"/>
      <c r="AHL17" s="501"/>
      <c r="AHM17" s="501"/>
      <c r="AHN17" s="501"/>
      <c r="AHO17" s="501"/>
      <c r="AHP17" s="501"/>
      <c r="AHQ17" s="501"/>
      <c r="AHR17" s="501"/>
      <c r="AHS17" s="501"/>
      <c r="AHT17" s="501"/>
      <c r="AHU17" s="501"/>
      <c r="AHV17" s="501"/>
      <c r="AHW17" s="501"/>
      <c r="AHX17" s="501"/>
      <c r="AHY17" s="501"/>
      <c r="AHZ17" s="501"/>
      <c r="AIA17" s="501"/>
      <c r="AIB17" s="501"/>
      <c r="AIC17" s="501"/>
      <c r="AID17" s="501"/>
      <c r="AIE17" s="501"/>
      <c r="AIF17" s="501"/>
      <c r="AIG17" s="501"/>
      <c r="AIH17" s="501"/>
      <c r="AII17" s="501"/>
      <c r="AIJ17" s="501"/>
      <c r="AIK17" s="501"/>
      <c r="AIL17" s="501"/>
      <c r="AIM17" s="501"/>
      <c r="AIN17" s="501"/>
      <c r="AIO17" s="501"/>
      <c r="AIP17" s="501"/>
      <c r="AIQ17" s="501"/>
      <c r="AIR17" s="501"/>
      <c r="AIS17" s="501"/>
      <c r="AIT17" s="501"/>
      <c r="AIU17" s="501"/>
      <c r="AIV17" s="501"/>
      <c r="AIW17" s="501"/>
      <c r="AIX17" s="501"/>
      <c r="AIY17" s="501"/>
      <c r="AIZ17" s="501"/>
      <c r="AJA17" s="501"/>
      <c r="AJB17" s="501"/>
      <c r="AJC17" s="501"/>
      <c r="AJD17" s="501"/>
      <c r="AJE17" s="501"/>
      <c r="AJF17" s="501"/>
      <c r="AJG17" s="501"/>
      <c r="AJH17" s="501"/>
      <c r="AJI17" s="501"/>
      <c r="AJJ17" s="501"/>
      <c r="AJK17" s="501"/>
      <c r="AJL17" s="501"/>
      <c r="AJM17" s="501"/>
      <c r="AJN17" s="501"/>
      <c r="AJO17" s="501"/>
      <c r="AJP17" s="501"/>
      <c r="AJQ17" s="501"/>
      <c r="AJR17" s="501"/>
      <c r="AJS17" s="501"/>
      <c r="AJT17" s="501"/>
      <c r="AJU17" s="501"/>
      <c r="AJV17" s="501"/>
      <c r="AJW17" s="501"/>
      <c r="AJX17" s="501"/>
      <c r="AJY17" s="501"/>
      <c r="AJZ17" s="501"/>
      <c r="AKA17" s="501"/>
      <c r="AKB17" s="501"/>
      <c r="AKC17" s="501"/>
      <c r="AKD17" s="501"/>
      <c r="AKE17" s="501"/>
      <c r="AKF17" s="501"/>
      <c r="AKG17" s="501"/>
      <c r="AKH17" s="501"/>
      <c r="AKI17" s="501"/>
      <c r="AKJ17" s="501"/>
      <c r="AKK17" s="501"/>
      <c r="AKL17" s="501"/>
      <c r="AKM17" s="501"/>
      <c r="AKN17" s="501"/>
      <c r="AKO17" s="501"/>
      <c r="AKP17" s="501"/>
      <c r="AKQ17" s="501"/>
      <c r="AKR17" s="501"/>
      <c r="AKS17" s="501"/>
      <c r="AKT17" s="501"/>
      <c r="AKU17" s="501"/>
      <c r="AKV17" s="501"/>
      <c r="AKW17" s="501"/>
      <c r="AKX17" s="501"/>
      <c r="AKY17" s="501"/>
      <c r="AKZ17" s="501"/>
      <c r="ALA17" s="501"/>
      <c r="ALB17" s="501"/>
      <c r="ALC17" s="501"/>
      <c r="ALD17" s="501"/>
      <c r="ALE17" s="501"/>
      <c r="ALF17" s="501"/>
      <c r="ALG17" s="501"/>
      <c r="ALH17" s="501"/>
      <c r="ALI17" s="501"/>
      <c r="ALJ17" s="501"/>
      <c r="ALK17" s="501"/>
      <c r="ALL17" s="501"/>
      <c r="ALM17" s="501"/>
      <c r="ALN17" s="501"/>
      <c r="ALO17" s="501"/>
      <c r="ALP17" s="501"/>
      <c r="ALQ17" s="501"/>
      <c r="ALR17" s="501"/>
      <c r="ALS17" s="501"/>
      <c r="ALT17" s="501"/>
      <c r="ALU17" s="501"/>
      <c r="ALV17" s="501"/>
      <c r="ALW17" s="501"/>
      <c r="ALX17" s="501"/>
      <c r="ALY17" s="501"/>
      <c r="ALZ17" s="501"/>
      <c r="AMA17" s="501"/>
      <c r="AMB17" s="501"/>
      <c r="AMC17" s="501"/>
      <c r="AMD17" s="501"/>
      <c r="AME17" s="501"/>
      <c r="AMF17" s="501"/>
      <c r="AMG17" s="501"/>
      <c r="AMH17" s="501"/>
      <c r="AMI17" s="501"/>
      <c r="AMJ17" s="501"/>
      <c r="AMK17" s="501"/>
      <c r="AML17" s="501"/>
      <c r="AMM17" s="501"/>
      <c r="AMN17" s="501"/>
      <c r="AMO17" s="501"/>
      <c r="AMP17" s="501"/>
      <c r="AMQ17" s="501"/>
      <c r="AMR17" s="501"/>
      <c r="AMS17" s="501"/>
      <c r="AMT17" s="501"/>
      <c r="AMU17" s="501"/>
      <c r="AMV17" s="501"/>
      <c r="AMW17" s="501"/>
      <c r="AMX17" s="501"/>
      <c r="AMY17" s="501"/>
      <c r="AMZ17" s="501"/>
      <c r="ANA17" s="501"/>
      <c r="ANB17" s="501"/>
      <c r="ANC17" s="501"/>
      <c r="AND17" s="501"/>
      <c r="ANE17" s="501"/>
      <c r="ANF17" s="501"/>
      <c r="ANG17" s="501"/>
      <c r="ANH17" s="501"/>
      <c r="ANI17" s="501"/>
      <c r="ANJ17" s="501"/>
      <c r="ANK17" s="501"/>
      <c r="ANL17" s="501"/>
      <c r="ANM17" s="501"/>
      <c r="ANN17" s="501"/>
      <c r="ANO17" s="501"/>
      <c r="ANP17" s="501"/>
      <c r="ANQ17" s="501"/>
      <c r="ANR17" s="501"/>
      <c r="ANS17" s="501"/>
      <c r="ANT17" s="501"/>
      <c r="ANU17" s="501"/>
      <c r="ANV17" s="501"/>
      <c r="ANW17" s="501"/>
      <c r="ANX17" s="501"/>
      <c r="ANY17" s="501"/>
      <c r="ANZ17" s="501"/>
      <c r="AOA17" s="501"/>
      <c r="AOB17" s="501"/>
      <c r="AOC17" s="501"/>
      <c r="AOD17" s="501"/>
      <c r="AOE17" s="501"/>
      <c r="AOF17" s="501"/>
      <c r="AOG17" s="501"/>
      <c r="AOH17" s="501"/>
      <c r="AOI17" s="501"/>
      <c r="AOJ17" s="501"/>
      <c r="AOK17" s="501"/>
      <c r="AOL17" s="501"/>
      <c r="AOM17" s="501"/>
      <c r="AON17" s="501"/>
      <c r="AOO17" s="501"/>
      <c r="AOP17" s="501"/>
      <c r="AOQ17" s="501"/>
      <c r="AOR17" s="501"/>
      <c r="AOS17" s="501"/>
      <c r="AOT17" s="501"/>
      <c r="AOU17" s="501"/>
      <c r="AOV17" s="501"/>
      <c r="AOW17" s="501"/>
      <c r="AOX17" s="501"/>
      <c r="AOY17" s="501"/>
      <c r="AOZ17" s="501"/>
      <c r="APA17" s="501"/>
      <c r="APB17" s="501"/>
      <c r="APC17" s="501"/>
      <c r="APD17" s="501"/>
      <c r="APE17" s="501"/>
      <c r="APF17" s="501"/>
      <c r="APG17" s="501"/>
      <c r="APH17" s="501"/>
      <c r="API17" s="501"/>
      <c r="APJ17" s="501"/>
      <c r="APK17" s="501"/>
      <c r="APL17" s="501"/>
      <c r="APM17" s="501"/>
      <c r="APN17" s="501"/>
      <c r="APO17" s="501"/>
      <c r="APP17" s="501"/>
      <c r="APQ17" s="501"/>
      <c r="APR17" s="501"/>
      <c r="APS17" s="501"/>
      <c r="APT17" s="501"/>
      <c r="APU17" s="501"/>
      <c r="APV17" s="501"/>
      <c r="APW17" s="501"/>
      <c r="APX17" s="501"/>
      <c r="APY17" s="501"/>
      <c r="APZ17" s="501"/>
      <c r="AQA17" s="501"/>
      <c r="AQB17" s="501"/>
      <c r="AQC17" s="501"/>
      <c r="AQD17" s="501"/>
      <c r="AQE17" s="501"/>
      <c r="AQF17" s="501"/>
      <c r="AQG17" s="501"/>
      <c r="AQH17" s="501"/>
      <c r="AQI17" s="501"/>
      <c r="AQJ17" s="501"/>
      <c r="AQK17" s="501"/>
      <c r="AQL17" s="501"/>
      <c r="AQM17" s="501"/>
      <c r="AQN17" s="501"/>
      <c r="AQO17" s="501"/>
      <c r="AQP17" s="501"/>
      <c r="AQQ17" s="501"/>
      <c r="AQR17" s="501"/>
      <c r="AQS17" s="501"/>
      <c r="AQT17" s="501"/>
      <c r="AQU17" s="501"/>
      <c r="AQV17" s="501"/>
      <c r="AQW17" s="501"/>
      <c r="AQX17" s="501"/>
      <c r="AQY17" s="501"/>
      <c r="AQZ17" s="501"/>
      <c r="ARA17" s="501"/>
      <c r="ARB17" s="501"/>
      <c r="ARC17" s="501"/>
      <c r="ARD17" s="501"/>
      <c r="ARE17" s="501"/>
      <c r="ARF17" s="501"/>
      <c r="ARG17" s="501"/>
      <c r="ARH17" s="501"/>
      <c r="ARI17" s="501"/>
      <c r="ARJ17" s="501"/>
      <c r="ARK17" s="501"/>
      <c r="ARL17" s="501"/>
      <c r="ARM17" s="501"/>
      <c r="ARN17" s="501"/>
      <c r="ARO17" s="501"/>
      <c r="ARP17" s="501"/>
      <c r="ARQ17" s="501"/>
      <c r="ARR17" s="501"/>
      <c r="ARS17" s="501"/>
      <c r="ART17" s="501"/>
      <c r="ARU17" s="501"/>
      <c r="ARV17" s="501"/>
      <c r="ARW17" s="501"/>
      <c r="ARX17" s="501"/>
      <c r="ARY17" s="501"/>
      <c r="ARZ17" s="501"/>
      <c r="ASA17" s="501"/>
      <c r="ASB17" s="501"/>
      <c r="ASC17" s="501"/>
      <c r="ASD17" s="501"/>
      <c r="ASE17" s="501"/>
      <c r="ASF17" s="501"/>
      <c r="ASG17" s="501"/>
      <c r="ASH17" s="501"/>
      <c r="ASI17" s="501"/>
      <c r="ASJ17" s="501"/>
      <c r="ASK17" s="501"/>
      <c r="ASL17" s="501"/>
      <c r="ASM17" s="501"/>
      <c r="ASN17" s="501"/>
      <c r="ASO17" s="501"/>
      <c r="ASP17" s="501"/>
      <c r="ASQ17" s="501"/>
      <c r="ASR17" s="501"/>
      <c r="ASS17" s="501"/>
      <c r="AST17" s="501"/>
      <c r="ASU17" s="501"/>
      <c r="ASV17" s="501"/>
      <c r="ASW17" s="501"/>
      <c r="ASX17" s="501"/>
      <c r="ASY17" s="501"/>
      <c r="ASZ17" s="501"/>
      <c r="ATA17" s="501"/>
      <c r="ATB17" s="501"/>
      <c r="ATC17" s="501"/>
      <c r="ATD17" s="501"/>
      <c r="ATE17" s="501"/>
      <c r="ATF17" s="501"/>
      <c r="ATG17" s="501"/>
      <c r="ATH17" s="501"/>
      <c r="ATI17" s="501"/>
      <c r="ATJ17" s="501"/>
      <c r="ATK17" s="501"/>
      <c r="ATL17" s="501"/>
      <c r="ATM17" s="501"/>
      <c r="ATN17" s="501"/>
      <c r="ATO17" s="501"/>
      <c r="ATP17" s="501"/>
      <c r="ATQ17" s="501"/>
      <c r="ATR17" s="501"/>
      <c r="ATS17" s="501"/>
      <c r="ATT17" s="501"/>
      <c r="ATU17" s="501"/>
      <c r="ATV17" s="501"/>
      <c r="ATW17" s="501"/>
      <c r="ATX17" s="501"/>
      <c r="ATY17" s="501"/>
      <c r="ATZ17" s="501"/>
      <c r="AUA17" s="501"/>
      <c r="AUB17" s="501"/>
      <c r="AUC17" s="501"/>
      <c r="AUD17" s="501"/>
      <c r="AUE17" s="501"/>
      <c r="AUF17" s="501"/>
      <c r="AUG17" s="501"/>
      <c r="AUH17" s="501"/>
      <c r="AUI17" s="501"/>
      <c r="AUJ17" s="501"/>
      <c r="AUK17" s="501"/>
      <c r="AUL17" s="501"/>
      <c r="AUM17" s="501"/>
      <c r="AUN17" s="501"/>
      <c r="AUO17" s="501"/>
      <c r="AUP17" s="501"/>
      <c r="AUQ17" s="501"/>
      <c r="AUR17" s="501"/>
      <c r="AUS17" s="501"/>
      <c r="AUT17" s="501"/>
      <c r="AUU17" s="501"/>
      <c r="AUV17" s="501"/>
      <c r="AUW17" s="501"/>
      <c r="AUX17" s="501"/>
      <c r="AUY17" s="501"/>
      <c r="AUZ17" s="501"/>
      <c r="AVA17" s="501"/>
      <c r="AVB17" s="501"/>
      <c r="AVC17" s="501"/>
      <c r="AVD17" s="501"/>
      <c r="AVE17" s="501"/>
      <c r="AVF17" s="501"/>
      <c r="AVG17" s="501"/>
      <c r="AVH17" s="501"/>
      <c r="AVI17" s="501"/>
      <c r="AVJ17" s="501"/>
      <c r="AVK17" s="501"/>
      <c r="AVL17" s="501"/>
      <c r="AVM17" s="501"/>
      <c r="AVN17" s="501"/>
      <c r="AVO17" s="501"/>
      <c r="AVP17" s="501"/>
      <c r="AVQ17" s="501"/>
      <c r="AVR17" s="501"/>
      <c r="AVS17" s="501"/>
      <c r="AVT17" s="501"/>
      <c r="AVU17" s="501"/>
      <c r="AVV17" s="501"/>
      <c r="AVW17" s="501"/>
      <c r="AVX17" s="501"/>
      <c r="AVY17" s="501"/>
      <c r="AVZ17" s="501"/>
      <c r="AWA17" s="501"/>
      <c r="AWB17" s="501"/>
      <c r="AWC17" s="501"/>
      <c r="AWD17" s="501"/>
      <c r="AWE17" s="501"/>
      <c r="AWF17" s="501"/>
      <c r="AWG17" s="501"/>
      <c r="AWH17" s="501"/>
      <c r="AWI17" s="501"/>
      <c r="AWJ17" s="501"/>
      <c r="AWK17" s="501"/>
      <c r="AWL17" s="501"/>
      <c r="AWM17" s="501"/>
      <c r="AWN17" s="501"/>
      <c r="AWO17" s="501"/>
      <c r="AWP17" s="501"/>
      <c r="AWQ17" s="501"/>
      <c r="AWR17" s="501"/>
      <c r="AWS17" s="501"/>
      <c r="AWT17" s="501"/>
      <c r="AWU17" s="501"/>
      <c r="AWV17" s="501"/>
      <c r="AWW17" s="501"/>
      <c r="AWX17" s="501"/>
      <c r="AWY17" s="501"/>
      <c r="AWZ17" s="501"/>
      <c r="AXA17" s="501"/>
      <c r="AXB17" s="501"/>
      <c r="AXC17" s="501"/>
      <c r="AXD17" s="501"/>
      <c r="AXE17" s="501"/>
      <c r="AXF17" s="501"/>
      <c r="AXG17" s="501"/>
      <c r="AXH17" s="501"/>
      <c r="AXI17" s="501"/>
      <c r="AXJ17" s="501"/>
      <c r="AXK17" s="501"/>
      <c r="AXL17" s="501"/>
      <c r="AXM17" s="501"/>
      <c r="AXN17" s="501"/>
      <c r="AXO17" s="501"/>
      <c r="AXP17" s="501"/>
      <c r="AXQ17" s="501"/>
      <c r="AXR17" s="501"/>
      <c r="AXS17" s="501"/>
      <c r="AXT17" s="501"/>
      <c r="AXU17" s="501"/>
      <c r="AXV17" s="501"/>
      <c r="AXW17" s="501"/>
      <c r="AXX17" s="501"/>
      <c r="AXY17" s="501"/>
      <c r="AXZ17" s="501"/>
      <c r="AYA17" s="501"/>
      <c r="AYB17" s="501"/>
      <c r="AYC17" s="501"/>
      <c r="AYD17" s="501"/>
      <c r="AYE17" s="501"/>
      <c r="AYF17" s="501"/>
      <c r="AYG17" s="501"/>
      <c r="AYH17" s="501"/>
      <c r="AYI17" s="501"/>
      <c r="AYJ17" s="501"/>
      <c r="AYK17" s="501"/>
      <c r="AYL17" s="501"/>
      <c r="AYM17" s="501"/>
      <c r="AYN17" s="501"/>
      <c r="AYO17" s="501"/>
      <c r="AYP17" s="501"/>
      <c r="AYQ17" s="501"/>
      <c r="AYR17" s="501"/>
      <c r="AYS17" s="501"/>
      <c r="AYT17" s="501"/>
      <c r="AYU17" s="501"/>
      <c r="AYV17" s="501"/>
      <c r="AYW17" s="501"/>
      <c r="AYX17" s="501"/>
      <c r="AYY17" s="501"/>
      <c r="AYZ17" s="501"/>
      <c r="AZA17" s="501"/>
      <c r="AZB17" s="501"/>
      <c r="AZC17" s="501"/>
      <c r="AZD17" s="501"/>
      <c r="AZE17" s="501"/>
      <c r="AZF17" s="501"/>
      <c r="AZG17" s="501"/>
      <c r="AZH17" s="501"/>
      <c r="AZI17" s="501"/>
      <c r="AZJ17" s="501"/>
      <c r="AZK17" s="501"/>
      <c r="AZL17" s="501"/>
      <c r="AZM17" s="501"/>
      <c r="AZN17" s="501"/>
      <c r="AZO17" s="501"/>
      <c r="AZP17" s="501"/>
      <c r="AZQ17" s="501"/>
      <c r="AZR17" s="501"/>
      <c r="AZS17" s="501"/>
      <c r="AZT17" s="501"/>
      <c r="AZU17" s="501"/>
      <c r="AZV17" s="501"/>
      <c r="AZW17" s="501"/>
      <c r="AZX17" s="501"/>
      <c r="AZY17" s="501"/>
      <c r="AZZ17" s="501"/>
      <c r="BAA17" s="501"/>
      <c r="BAB17" s="501"/>
      <c r="BAC17" s="501"/>
      <c r="BAD17" s="501"/>
      <c r="BAE17" s="501"/>
      <c r="BAF17" s="501"/>
      <c r="BAG17" s="501"/>
      <c r="BAH17" s="501"/>
      <c r="BAI17" s="501"/>
      <c r="BAJ17" s="501"/>
      <c r="BAK17" s="501"/>
      <c r="BAL17" s="501"/>
      <c r="BAM17" s="501"/>
      <c r="BAN17" s="501"/>
      <c r="BAO17" s="501"/>
      <c r="BAP17" s="501"/>
      <c r="BAQ17" s="501"/>
      <c r="BAR17" s="501"/>
      <c r="BAS17" s="501"/>
      <c r="BAT17" s="501"/>
      <c r="BAU17" s="501"/>
      <c r="BAV17" s="501"/>
      <c r="BAW17" s="501"/>
      <c r="BAX17" s="501"/>
      <c r="BAY17" s="501"/>
      <c r="BAZ17" s="501"/>
      <c r="BBA17" s="501"/>
      <c r="BBB17" s="501"/>
      <c r="BBC17" s="501"/>
      <c r="BBD17" s="501"/>
      <c r="BBE17" s="501"/>
      <c r="BBF17" s="501"/>
      <c r="BBG17" s="501"/>
      <c r="BBH17" s="501"/>
      <c r="BBI17" s="501"/>
      <c r="BBJ17" s="501"/>
      <c r="BBK17" s="501"/>
      <c r="BBL17" s="501"/>
      <c r="BBM17" s="501"/>
      <c r="BBN17" s="501"/>
      <c r="BBO17" s="501"/>
      <c r="BBP17" s="501"/>
      <c r="BBQ17" s="501"/>
      <c r="BBR17" s="501"/>
      <c r="BBS17" s="501"/>
      <c r="BBT17" s="501"/>
      <c r="BBU17" s="501"/>
      <c r="BBV17" s="501"/>
      <c r="BBW17" s="501"/>
      <c r="BBX17" s="501"/>
      <c r="BBY17" s="501"/>
      <c r="BBZ17" s="501"/>
      <c r="BCA17" s="501"/>
      <c r="BCB17" s="501"/>
      <c r="BCC17" s="501"/>
      <c r="BCD17" s="501"/>
      <c r="BCE17" s="501"/>
      <c r="BCF17" s="501"/>
      <c r="BCG17" s="501"/>
      <c r="BCH17" s="501"/>
      <c r="BCI17" s="501"/>
      <c r="BCJ17" s="501"/>
      <c r="BCK17" s="501"/>
      <c r="BCL17" s="501"/>
      <c r="BCM17" s="501"/>
      <c r="BCN17" s="501"/>
      <c r="BCO17" s="501"/>
      <c r="BCP17" s="501"/>
      <c r="BCQ17" s="501"/>
      <c r="BCR17" s="501"/>
      <c r="BCS17" s="501"/>
      <c r="BCT17" s="501"/>
      <c r="BCU17" s="501"/>
      <c r="BCV17" s="501"/>
      <c r="BCW17" s="501"/>
      <c r="BCX17" s="501"/>
      <c r="BCY17" s="501"/>
      <c r="BCZ17" s="501"/>
      <c r="BDA17" s="501"/>
      <c r="BDB17" s="501"/>
      <c r="BDC17" s="501"/>
      <c r="BDD17" s="501"/>
      <c r="BDE17" s="501"/>
      <c r="BDF17" s="501"/>
      <c r="BDG17" s="501"/>
      <c r="BDH17" s="501"/>
      <c r="BDI17" s="501"/>
      <c r="BDJ17" s="501"/>
      <c r="BDK17" s="501"/>
      <c r="BDL17" s="501"/>
      <c r="BDM17" s="501"/>
      <c r="BDN17" s="501"/>
      <c r="BDO17" s="501"/>
      <c r="BDP17" s="501"/>
      <c r="BDQ17" s="501"/>
      <c r="BDR17" s="501"/>
      <c r="BDS17" s="501"/>
      <c r="BDT17" s="501"/>
      <c r="BDU17" s="501"/>
      <c r="BDV17" s="501"/>
      <c r="BDW17" s="501"/>
      <c r="BDX17" s="501"/>
      <c r="BDY17" s="501"/>
      <c r="BDZ17" s="501"/>
      <c r="BEA17" s="501"/>
      <c r="BEB17" s="501"/>
      <c r="BEC17" s="501"/>
      <c r="BED17" s="501"/>
      <c r="BEE17" s="501"/>
      <c r="BEF17" s="501"/>
      <c r="BEG17" s="501"/>
      <c r="BEH17" s="501"/>
      <c r="BEI17" s="501"/>
      <c r="BEJ17" s="501"/>
      <c r="BEK17" s="501"/>
      <c r="BEL17" s="501"/>
      <c r="BEM17" s="501"/>
      <c r="BEN17" s="501"/>
      <c r="BEO17" s="501"/>
      <c r="BEP17" s="501"/>
      <c r="BEQ17" s="501"/>
      <c r="BER17" s="501"/>
      <c r="BES17" s="501"/>
      <c r="BET17" s="501"/>
      <c r="BEU17" s="501"/>
      <c r="BEV17" s="501"/>
      <c r="BEW17" s="501"/>
      <c r="BEX17" s="501"/>
      <c r="BEY17" s="501"/>
      <c r="BEZ17" s="501"/>
      <c r="BFA17" s="501"/>
      <c r="BFB17" s="501"/>
      <c r="BFC17" s="501"/>
      <c r="BFD17" s="501"/>
      <c r="BFE17" s="501"/>
      <c r="BFF17" s="501"/>
      <c r="BFG17" s="501"/>
      <c r="BFH17" s="501"/>
      <c r="BFI17" s="501"/>
      <c r="BFJ17" s="501"/>
      <c r="BFK17" s="501"/>
      <c r="BFL17" s="501"/>
      <c r="BFM17" s="501"/>
      <c r="BFN17" s="501"/>
      <c r="BFO17" s="501"/>
      <c r="BFP17" s="501"/>
      <c r="BFQ17" s="501"/>
      <c r="BFR17" s="501"/>
      <c r="BFS17" s="501"/>
      <c r="BFT17" s="501"/>
      <c r="BFU17" s="501"/>
      <c r="BFV17" s="501"/>
      <c r="BFW17" s="501"/>
      <c r="BFX17" s="501"/>
      <c r="BFY17" s="501"/>
      <c r="BFZ17" s="501"/>
      <c r="BGA17" s="501"/>
      <c r="BGB17" s="501"/>
      <c r="BGC17" s="501"/>
      <c r="BGD17" s="501"/>
      <c r="BGE17" s="501"/>
      <c r="BGF17" s="501"/>
      <c r="BGG17" s="501"/>
      <c r="BGH17" s="501"/>
      <c r="BGI17" s="501"/>
      <c r="BGJ17" s="501"/>
      <c r="BGK17" s="501"/>
      <c r="BGL17" s="501"/>
      <c r="BGM17" s="501"/>
      <c r="BGN17" s="501"/>
      <c r="BGO17" s="501"/>
      <c r="BGP17" s="501"/>
      <c r="BGQ17" s="501"/>
      <c r="BGR17" s="501"/>
      <c r="BGS17" s="501"/>
      <c r="BGT17" s="501"/>
      <c r="BGU17" s="501"/>
      <c r="BGV17" s="501"/>
      <c r="BGW17" s="501"/>
      <c r="BGX17" s="501"/>
      <c r="BGY17" s="501"/>
      <c r="BGZ17" s="501"/>
      <c r="BHA17" s="501"/>
      <c r="BHB17" s="501"/>
      <c r="BHC17" s="501"/>
      <c r="BHD17" s="501"/>
      <c r="BHE17" s="501"/>
      <c r="BHF17" s="501"/>
      <c r="BHG17" s="501"/>
      <c r="BHH17" s="501"/>
      <c r="BHI17" s="501"/>
      <c r="BHJ17" s="501"/>
      <c r="BHK17" s="501"/>
      <c r="BHL17" s="501"/>
      <c r="BHM17" s="501"/>
      <c r="BHN17" s="501"/>
      <c r="BHO17" s="501"/>
      <c r="BHP17" s="501"/>
      <c r="BHQ17" s="501"/>
      <c r="BHR17" s="501"/>
      <c r="BHS17" s="501"/>
      <c r="BHT17" s="501"/>
      <c r="BHU17" s="501"/>
      <c r="BHV17" s="501"/>
      <c r="BHW17" s="501"/>
      <c r="BHX17" s="501"/>
      <c r="BHY17" s="501"/>
      <c r="BHZ17" s="501"/>
      <c r="BIA17" s="501"/>
      <c r="BIB17" s="501"/>
      <c r="BIC17" s="501"/>
      <c r="BID17" s="501"/>
      <c r="BIE17" s="501"/>
      <c r="BIF17" s="501"/>
      <c r="BIG17" s="501"/>
      <c r="BIH17" s="501"/>
      <c r="BII17" s="501"/>
      <c r="BIJ17" s="501"/>
      <c r="BIK17" s="501"/>
      <c r="BIL17" s="501"/>
      <c r="BIM17" s="501"/>
      <c r="BIN17" s="501"/>
      <c r="BIO17" s="501"/>
      <c r="BIP17" s="501"/>
      <c r="BIQ17" s="501"/>
      <c r="BIR17" s="501"/>
      <c r="BIS17" s="501"/>
      <c r="BIT17" s="501"/>
      <c r="BIU17" s="501"/>
      <c r="BIV17" s="501"/>
      <c r="BIW17" s="501"/>
      <c r="BIX17" s="501"/>
      <c r="BIY17" s="501"/>
      <c r="BIZ17" s="501"/>
      <c r="BJA17" s="501"/>
      <c r="BJB17" s="501"/>
      <c r="BJC17" s="501"/>
      <c r="BJD17" s="501"/>
      <c r="BJE17" s="501"/>
      <c r="BJF17" s="501"/>
      <c r="BJG17" s="501"/>
      <c r="BJH17" s="501"/>
      <c r="BJI17" s="501"/>
      <c r="BJJ17" s="501"/>
      <c r="BJK17" s="501"/>
      <c r="BJL17" s="501"/>
      <c r="BJM17" s="501"/>
      <c r="BJN17" s="501"/>
      <c r="BJO17" s="501"/>
      <c r="BJP17" s="501"/>
      <c r="BJQ17" s="501"/>
      <c r="BJR17" s="501"/>
      <c r="BJS17" s="501"/>
      <c r="BJT17" s="501"/>
      <c r="BJU17" s="501"/>
      <c r="BJV17" s="501"/>
      <c r="BJW17" s="501"/>
      <c r="BJX17" s="501"/>
      <c r="BJY17" s="501"/>
      <c r="BJZ17" s="501"/>
      <c r="BKA17" s="501"/>
      <c r="BKB17" s="501"/>
      <c r="BKC17" s="501"/>
      <c r="BKD17" s="501"/>
      <c r="BKE17" s="501"/>
      <c r="BKF17" s="501"/>
      <c r="BKG17" s="501"/>
      <c r="BKH17" s="501"/>
      <c r="BKI17" s="501"/>
      <c r="BKJ17" s="501"/>
      <c r="BKK17" s="501"/>
      <c r="BKL17" s="501"/>
      <c r="BKM17" s="501"/>
      <c r="BKN17" s="501"/>
      <c r="BKO17" s="501"/>
      <c r="BKP17" s="501"/>
      <c r="BKQ17" s="501"/>
      <c r="BKR17" s="501"/>
      <c r="BKS17" s="501"/>
      <c r="BKT17" s="501"/>
      <c r="BKU17" s="501"/>
      <c r="BKV17" s="501"/>
      <c r="BKW17" s="501"/>
      <c r="BKX17" s="501"/>
      <c r="BKY17" s="501"/>
      <c r="BKZ17" s="501"/>
      <c r="BLA17" s="501"/>
      <c r="BLB17" s="501"/>
      <c r="BLC17" s="501"/>
      <c r="BLD17" s="501"/>
      <c r="BLE17" s="501"/>
      <c r="BLF17" s="501"/>
      <c r="BLG17" s="501"/>
      <c r="BLH17" s="501"/>
      <c r="BLI17" s="501"/>
      <c r="BLJ17" s="501"/>
      <c r="BLK17" s="501"/>
      <c r="BLL17" s="501"/>
      <c r="BLM17" s="501"/>
      <c r="BLN17" s="501"/>
      <c r="BLO17" s="501"/>
      <c r="BLP17" s="501"/>
      <c r="BLQ17" s="501"/>
      <c r="BLR17" s="501"/>
      <c r="BLS17" s="501"/>
      <c r="BLT17" s="501"/>
      <c r="BLU17" s="501"/>
      <c r="BLV17" s="501"/>
      <c r="BLW17" s="501"/>
      <c r="BLX17" s="501"/>
      <c r="BLY17" s="501"/>
      <c r="BLZ17" s="501"/>
      <c r="BMA17" s="501"/>
      <c r="BMB17" s="501"/>
      <c r="BMC17" s="501"/>
      <c r="BMD17" s="501"/>
      <c r="BME17" s="501"/>
      <c r="BMF17" s="501"/>
      <c r="BMG17" s="501"/>
      <c r="BMH17" s="501"/>
      <c r="BMI17" s="501"/>
      <c r="BMJ17" s="501"/>
      <c r="BMK17" s="501"/>
      <c r="BML17" s="501"/>
      <c r="BMM17" s="501"/>
      <c r="BMN17" s="501"/>
      <c r="BMO17" s="501"/>
      <c r="BMP17" s="501"/>
      <c r="BMQ17" s="501"/>
      <c r="BMR17" s="501"/>
      <c r="BMS17" s="501"/>
      <c r="BMT17" s="501"/>
      <c r="BMU17" s="501"/>
      <c r="BMV17" s="501"/>
      <c r="BMW17" s="501"/>
      <c r="BMX17" s="501"/>
      <c r="BMY17" s="501"/>
      <c r="BMZ17" s="501"/>
      <c r="BNA17" s="501"/>
      <c r="BNB17" s="501"/>
      <c r="BNC17" s="501"/>
      <c r="BND17" s="501"/>
      <c r="BNE17" s="501"/>
      <c r="BNF17" s="501"/>
      <c r="BNG17" s="501"/>
      <c r="BNH17" s="501"/>
      <c r="BNI17" s="501"/>
      <c r="BNJ17" s="501"/>
      <c r="BNK17" s="501"/>
      <c r="BNL17" s="501"/>
      <c r="BNM17" s="501"/>
      <c r="BNN17" s="501"/>
      <c r="BNO17" s="501"/>
      <c r="BNP17" s="501"/>
      <c r="BNQ17" s="501"/>
      <c r="BNR17" s="501"/>
      <c r="BNS17" s="501"/>
      <c r="BNT17" s="501"/>
      <c r="BNU17" s="501"/>
      <c r="BNV17" s="501"/>
      <c r="BNW17" s="501"/>
      <c r="BNX17" s="501"/>
      <c r="BNY17" s="501"/>
      <c r="BNZ17" s="501"/>
      <c r="BOA17" s="501"/>
      <c r="BOB17" s="501"/>
      <c r="BOC17" s="501"/>
      <c r="BOD17" s="501"/>
      <c r="BOE17" s="501"/>
      <c r="BOF17" s="501"/>
      <c r="BOG17" s="501"/>
      <c r="BOH17" s="501"/>
      <c r="BOI17" s="501"/>
      <c r="BOJ17" s="501"/>
      <c r="BOK17" s="501"/>
      <c r="BOL17" s="501"/>
      <c r="BOM17" s="501"/>
      <c r="BON17" s="501"/>
      <c r="BOO17" s="501"/>
      <c r="BOP17" s="501"/>
      <c r="BOQ17" s="501"/>
      <c r="BOR17" s="501"/>
      <c r="BOS17" s="501"/>
      <c r="BOT17" s="501"/>
      <c r="BOU17" s="501"/>
      <c r="BOV17" s="501"/>
      <c r="BOW17" s="501"/>
      <c r="BOX17" s="501"/>
      <c r="BOY17" s="501"/>
      <c r="BOZ17" s="501"/>
      <c r="BPA17" s="501"/>
      <c r="BPB17" s="501"/>
      <c r="BPC17" s="501"/>
      <c r="BPD17" s="501"/>
      <c r="BPE17" s="501"/>
      <c r="BPF17" s="501"/>
      <c r="BPG17" s="501"/>
      <c r="BPH17" s="501"/>
      <c r="BPI17" s="501"/>
      <c r="BPJ17" s="501"/>
      <c r="BPK17" s="501"/>
      <c r="BPL17" s="501"/>
      <c r="BPM17" s="501"/>
      <c r="BPN17" s="501"/>
      <c r="BPO17" s="501"/>
      <c r="BPP17" s="501"/>
      <c r="BPQ17" s="501"/>
      <c r="BPR17" s="501"/>
      <c r="BPS17" s="501"/>
      <c r="BPT17" s="501"/>
      <c r="BPU17" s="501"/>
      <c r="BPV17" s="501"/>
      <c r="BPW17" s="501"/>
      <c r="BPX17" s="501"/>
      <c r="BPY17" s="501"/>
      <c r="BPZ17" s="501"/>
      <c r="BQA17" s="501"/>
      <c r="BQB17" s="501"/>
      <c r="BQC17" s="501"/>
      <c r="BQD17" s="501"/>
      <c r="BQE17" s="501"/>
      <c r="BQF17" s="501"/>
      <c r="BQG17" s="501"/>
      <c r="BQH17" s="501"/>
      <c r="BQI17" s="501"/>
      <c r="BQJ17" s="501"/>
      <c r="BQK17" s="501"/>
      <c r="BQL17" s="501"/>
      <c r="BQM17" s="501"/>
      <c r="BQN17" s="501"/>
      <c r="BQO17" s="501"/>
      <c r="BQP17" s="501"/>
      <c r="BQQ17" s="501"/>
      <c r="BQR17" s="501"/>
      <c r="BQS17" s="501"/>
      <c r="BQT17" s="501"/>
      <c r="BQU17" s="501"/>
      <c r="BQV17" s="501"/>
      <c r="BQW17" s="501"/>
      <c r="BQX17" s="501"/>
      <c r="BQY17" s="501"/>
      <c r="BQZ17" s="501"/>
      <c r="BRA17" s="501"/>
      <c r="BRB17" s="501"/>
      <c r="BRC17" s="501"/>
      <c r="BRD17" s="501"/>
      <c r="BRE17" s="501"/>
      <c r="BRF17" s="501"/>
      <c r="BRG17" s="501"/>
      <c r="BRH17" s="501"/>
      <c r="BRI17" s="501"/>
      <c r="BRJ17" s="501"/>
      <c r="BRK17" s="501"/>
      <c r="BRL17" s="501"/>
      <c r="BRM17" s="501"/>
      <c r="BRN17" s="501"/>
      <c r="BRO17" s="501"/>
      <c r="BRP17" s="501"/>
      <c r="BRQ17" s="501"/>
      <c r="BRR17" s="501"/>
      <c r="BRS17" s="501"/>
      <c r="BRT17" s="501"/>
      <c r="BRU17" s="501"/>
      <c r="BRV17" s="501"/>
      <c r="BRW17" s="501"/>
      <c r="BRX17" s="501"/>
      <c r="BRY17" s="501"/>
      <c r="BRZ17" s="501"/>
      <c r="BSA17" s="501"/>
      <c r="BSB17" s="501"/>
      <c r="BSC17" s="501"/>
    </row>
    <row r="18" spans="1:1849" s="595" customFormat="1" ht="15" x14ac:dyDescent="0.2">
      <c r="A18" s="503">
        <v>17</v>
      </c>
      <c r="B18" s="504" t="s">
        <v>25</v>
      </c>
      <c r="C18" s="447" t="s">
        <v>458</v>
      </c>
      <c r="D18" s="504" t="s">
        <v>26</v>
      </c>
      <c r="E18" s="504" t="s">
        <v>27</v>
      </c>
      <c r="F18" s="504">
        <v>20</v>
      </c>
      <c r="G18" s="504">
        <v>30</v>
      </c>
      <c r="H18" s="504">
        <v>20</v>
      </c>
      <c r="I18" s="504">
        <v>30</v>
      </c>
      <c r="J18" s="504">
        <v>1</v>
      </c>
      <c r="K18" s="504">
        <f t="shared" si="0"/>
        <v>600</v>
      </c>
      <c r="L18" s="504" t="s">
        <v>34</v>
      </c>
      <c r="M18" s="509" t="s">
        <v>264</v>
      </c>
      <c r="N18" s="504">
        <v>21.144839000000001</v>
      </c>
      <c r="O18" s="504">
        <v>79.081282000000002</v>
      </c>
      <c r="P18" s="504">
        <v>45000</v>
      </c>
      <c r="Q18" s="504">
        <v>55000</v>
      </c>
      <c r="R18" s="504">
        <v>90000</v>
      </c>
    </row>
    <row r="19" spans="1:1849" s="595" customFormat="1" ht="14.25" customHeight="1" x14ac:dyDescent="0.2">
      <c r="A19" s="503">
        <v>18</v>
      </c>
      <c r="B19" s="504" t="s">
        <v>25</v>
      </c>
      <c r="C19" s="447" t="s">
        <v>430</v>
      </c>
      <c r="D19" s="504" t="s">
        <v>26</v>
      </c>
      <c r="E19" s="504" t="s">
        <v>27</v>
      </c>
      <c r="F19" s="504">
        <v>20</v>
      </c>
      <c r="G19" s="504">
        <v>30</v>
      </c>
      <c r="H19" s="504">
        <v>20</v>
      </c>
      <c r="I19" s="504">
        <v>30</v>
      </c>
      <c r="J19" s="504">
        <v>1</v>
      </c>
      <c r="K19" s="504">
        <f t="shared" ref="K19:K63" si="1">F19*G19*J19</f>
        <v>600</v>
      </c>
      <c r="L19" s="504" t="s">
        <v>34</v>
      </c>
      <c r="M19" s="509" t="s">
        <v>263</v>
      </c>
      <c r="N19" s="510" t="s">
        <v>35</v>
      </c>
      <c r="O19" s="504">
        <v>79.079674999999995</v>
      </c>
      <c r="P19" s="504">
        <v>45000</v>
      </c>
      <c r="Q19" s="504">
        <v>55000</v>
      </c>
      <c r="R19" s="504">
        <v>90000</v>
      </c>
    </row>
    <row r="20" spans="1:1849" s="413" customFormat="1" ht="15" x14ac:dyDescent="0.2">
      <c r="A20" s="503">
        <v>19</v>
      </c>
      <c r="B20" s="172" t="s">
        <v>25</v>
      </c>
      <c r="C20" s="447" t="s">
        <v>833</v>
      </c>
      <c r="D20" s="504" t="s">
        <v>26</v>
      </c>
      <c r="E20" s="504" t="s">
        <v>27</v>
      </c>
      <c r="F20" s="504">
        <v>40</v>
      </c>
      <c r="G20" s="504">
        <v>20</v>
      </c>
      <c r="H20" s="504">
        <v>40</v>
      </c>
      <c r="I20" s="504">
        <v>20</v>
      </c>
      <c r="J20" s="504">
        <v>1</v>
      </c>
      <c r="K20" s="504">
        <f t="shared" si="1"/>
        <v>800</v>
      </c>
      <c r="L20" s="504" t="s">
        <v>36</v>
      </c>
      <c r="M20" s="638" t="s">
        <v>306</v>
      </c>
      <c r="N20" s="504">
        <v>21.114419000000002</v>
      </c>
      <c r="O20" s="504">
        <v>79.071428999999995</v>
      </c>
      <c r="P20" s="504">
        <v>85000</v>
      </c>
      <c r="Q20" s="172">
        <v>100000</v>
      </c>
      <c r="R20" s="172">
        <v>135000</v>
      </c>
    </row>
    <row r="21" spans="1:1849" ht="15" x14ac:dyDescent="0.2">
      <c r="A21" s="503">
        <v>20</v>
      </c>
      <c r="B21" s="172" t="s">
        <v>25</v>
      </c>
      <c r="C21" s="548" t="s">
        <v>409</v>
      </c>
      <c r="D21" s="504" t="s">
        <v>26</v>
      </c>
      <c r="E21" s="504" t="s">
        <v>27</v>
      </c>
      <c r="F21" s="504">
        <v>30</v>
      </c>
      <c r="G21" s="504">
        <v>20</v>
      </c>
      <c r="H21" s="504">
        <v>29.5</v>
      </c>
      <c r="I21" s="504">
        <v>20</v>
      </c>
      <c r="J21" s="504">
        <v>1</v>
      </c>
      <c r="K21" s="504">
        <f t="shared" si="1"/>
        <v>600</v>
      </c>
      <c r="L21" s="504" t="s">
        <v>36</v>
      </c>
      <c r="M21" s="509" t="s">
        <v>348</v>
      </c>
      <c r="N21" s="504">
        <v>21.111785999999999</v>
      </c>
      <c r="O21" s="504">
        <v>79.069963000000001</v>
      </c>
      <c r="P21" s="506">
        <v>50000</v>
      </c>
      <c r="Q21" s="170">
        <v>60000</v>
      </c>
      <c r="R21" s="170">
        <v>80000</v>
      </c>
    </row>
    <row r="22" spans="1:1849" ht="15" x14ac:dyDescent="0.2">
      <c r="A22" s="503">
        <v>21</v>
      </c>
      <c r="B22" s="172" t="s">
        <v>25</v>
      </c>
      <c r="C22" s="548" t="s">
        <v>868</v>
      </c>
      <c r="D22" s="504" t="s">
        <v>26</v>
      </c>
      <c r="E22" s="504" t="s">
        <v>27</v>
      </c>
      <c r="F22" s="504">
        <v>40</v>
      </c>
      <c r="G22" s="504">
        <v>20</v>
      </c>
      <c r="H22" s="504">
        <v>40</v>
      </c>
      <c r="I22" s="504">
        <v>20</v>
      </c>
      <c r="J22" s="504">
        <v>1</v>
      </c>
      <c r="K22" s="504">
        <f t="shared" si="1"/>
        <v>800</v>
      </c>
      <c r="L22" s="504" t="s">
        <v>36</v>
      </c>
      <c r="M22" s="512" t="s">
        <v>257</v>
      </c>
      <c r="N22" s="504">
        <v>21.095013000000002</v>
      </c>
      <c r="O22" s="656">
        <v>79.065839999999994</v>
      </c>
      <c r="P22" s="506">
        <v>75000</v>
      </c>
      <c r="Q22" s="170">
        <v>85000</v>
      </c>
      <c r="R22" s="170">
        <v>125000</v>
      </c>
    </row>
    <row r="23" spans="1:1849" s="595" customFormat="1" ht="16" x14ac:dyDescent="0.2">
      <c r="A23" s="503">
        <v>22</v>
      </c>
      <c r="B23" s="504" t="s">
        <v>25</v>
      </c>
      <c r="C23" s="447" t="s">
        <v>457</v>
      </c>
      <c r="D23" s="504" t="s">
        <v>26</v>
      </c>
      <c r="E23" s="504" t="s">
        <v>27</v>
      </c>
      <c r="F23" s="504">
        <v>20</v>
      </c>
      <c r="G23" s="504">
        <v>20</v>
      </c>
      <c r="H23" s="504">
        <v>20</v>
      </c>
      <c r="I23" s="504">
        <v>20</v>
      </c>
      <c r="J23" s="504">
        <v>1</v>
      </c>
      <c r="K23" s="504">
        <f t="shared" si="1"/>
        <v>400</v>
      </c>
      <c r="L23" s="504" t="s">
        <v>36</v>
      </c>
      <c r="M23" s="509" t="s">
        <v>265</v>
      </c>
      <c r="N23" s="513">
        <v>21.133255999999999</v>
      </c>
      <c r="O23" s="513">
        <v>79.077689000000007</v>
      </c>
      <c r="P23" s="504">
        <v>35000</v>
      </c>
      <c r="Q23" s="504">
        <v>40000</v>
      </c>
      <c r="R23" s="504">
        <v>75000</v>
      </c>
    </row>
    <row r="24" spans="1:1849" s="413" customFormat="1" ht="15" x14ac:dyDescent="0.2">
      <c r="A24" s="412">
        <v>23</v>
      </c>
      <c r="B24" s="172" t="s">
        <v>25</v>
      </c>
      <c r="C24" s="447" t="s">
        <v>410</v>
      </c>
      <c r="D24" s="172" t="s">
        <v>26</v>
      </c>
      <c r="E24" s="172" t="s">
        <v>27</v>
      </c>
      <c r="F24" s="172">
        <v>20</v>
      </c>
      <c r="G24" s="172">
        <v>20</v>
      </c>
      <c r="H24" s="172">
        <v>20</v>
      </c>
      <c r="I24" s="172">
        <v>20</v>
      </c>
      <c r="J24" s="172">
        <v>1</v>
      </c>
      <c r="K24" s="172">
        <f t="shared" si="1"/>
        <v>400</v>
      </c>
      <c r="L24" s="172" t="s">
        <v>36</v>
      </c>
      <c r="M24" s="703" t="s">
        <v>265</v>
      </c>
      <c r="N24" s="172">
        <v>21.133255999999999</v>
      </c>
      <c r="O24" s="172">
        <v>79.077689000000007</v>
      </c>
      <c r="P24" s="172">
        <v>35000</v>
      </c>
      <c r="Q24" s="172">
        <v>40000</v>
      </c>
      <c r="R24" s="172">
        <v>75000</v>
      </c>
    </row>
    <row r="25" spans="1:1849" s="595" customFormat="1" ht="18.75" customHeight="1" x14ac:dyDescent="0.2">
      <c r="A25" s="503">
        <v>24</v>
      </c>
      <c r="B25" s="504" t="s">
        <v>25</v>
      </c>
      <c r="C25" s="447" t="s">
        <v>38</v>
      </c>
      <c r="D25" s="504" t="s">
        <v>26</v>
      </c>
      <c r="E25" s="504" t="s">
        <v>27</v>
      </c>
      <c r="F25" s="504">
        <v>25</v>
      </c>
      <c r="G25" s="504">
        <v>25</v>
      </c>
      <c r="H25" s="504">
        <v>25</v>
      </c>
      <c r="I25" s="504">
        <v>25</v>
      </c>
      <c r="J25" s="504">
        <v>1</v>
      </c>
      <c r="K25" s="504">
        <f t="shared" si="1"/>
        <v>625</v>
      </c>
      <c r="L25" s="504" t="s">
        <v>37</v>
      </c>
      <c r="M25" s="509" t="s">
        <v>349</v>
      </c>
      <c r="N25" s="510" t="s">
        <v>39</v>
      </c>
      <c r="O25" s="504">
        <v>79.079768000000001</v>
      </c>
      <c r="P25" s="504">
        <v>55000</v>
      </c>
      <c r="Q25" s="504">
        <v>65000</v>
      </c>
      <c r="R25" s="504">
        <v>100000</v>
      </c>
    </row>
    <row r="26" spans="1:1849" s="595" customFormat="1" ht="15" x14ac:dyDescent="0.2">
      <c r="A26" s="503">
        <v>25</v>
      </c>
      <c r="B26" s="504" t="s">
        <v>25</v>
      </c>
      <c r="C26" s="447" t="s">
        <v>900</v>
      </c>
      <c r="D26" s="504" t="s">
        <v>26</v>
      </c>
      <c r="E26" s="504" t="s">
        <v>27</v>
      </c>
      <c r="F26" s="504">
        <v>25</v>
      </c>
      <c r="G26" s="504">
        <v>25</v>
      </c>
      <c r="H26" s="504">
        <v>25</v>
      </c>
      <c r="I26" s="504">
        <v>25</v>
      </c>
      <c r="J26" s="504">
        <v>1</v>
      </c>
      <c r="K26" s="504">
        <f t="shared" si="1"/>
        <v>625</v>
      </c>
      <c r="L26" s="504" t="s">
        <v>37</v>
      </c>
      <c r="M26" s="509" t="s">
        <v>307</v>
      </c>
      <c r="N26" s="510" t="s">
        <v>39</v>
      </c>
      <c r="O26" s="504">
        <v>79.079768000000001</v>
      </c>
      <c r="P26" s="504">
        <v>55000</v>
      </c>
      <c r="Q26" s="504">
        <v>65000</v>
      </c>
      <c r="R26" s="504">
        <v>100000</v>
      </c>
    </row>
    <row r="27" spans="1:1849" s="595" customFormat="1" ht="15" x14ac:dyDescent="0.2">
      <c r="A27" s="503">
        <v>26</v>
      </c>
      <c r="B27" s="504" t="s">
        <v>25</v>
      </c>
      <c r="C27" s="447" t="s">
        <v>819</v>
      </c>
      <c r="D27" s="504" t="s">
        <v>40</v>
      </c>
      <c r="E27" s="504" t="s">
        <v>27</v>
      </c>
      <c r="F27" s="504">
        <v>18</v>
      </c>
      <c r="G27" s="504">
        <v>10</v>
      </c>
      <c r="H27" s="504">
        <v>18</v>
      </c>
      <c r="I27" s="504">
        <v>10</v>
      </c>
      <c r="J27" s="504">
        <v>1</v>
      </c>
      <c r="K27" s="504">
        <f t="shared" si="1"/>
        <v>180</v>
      </c>
      <c r="L27" s="504" t="s">
        <v>37</v>
      </c>
      <c r="M27" s="638" t="s">
        <v>258</v>
      </c>
      <c r="N27" s="504">
        <v>21.159251000000001</v>
      </c>
      <c r="O27" s="504">
        <v>79.079459</v>
      </c>
      <c r="P27" s="504">
        <v>30000</v>
      </c>
      <c r="Q27" s="504">
        <v>35000</v>
      </c>
      <c r="R27" s="504">
        <v>60000</v>
      </c>
      <c r="S27" s="657"/>
    </row>
    <row r="28" spans="1:1849" s="502" customFormat="1" ht="15" x14ac:dyDescent="0.2">
      <c r="A28" s="503">
        <v>27</v>
      </c>
      <c r="B28" s="504" t="s">
        <v>25</v>
      </c>
      <c r="C28" s="548" t="s">
        <v>411</v>
      </c>
      <c r="D28" s="505" t="s">
        <v>26</v>
      </c>
      <c r="E28" s="505" t="s">
        <v>27</v>
      </c>
      <c r="F28" s="505">
        <v>40</v>
      </c>
      <c r="G28" s="505">
        <v>20</v>
      </c>
      <c r="H28" s="505">
        <v>40</v>
      </c>
      <c r="I28" s="505">
        <v>20</v>
      </c>
      <c r="J28" s="504">
        <v>1</v>
      </c>
      <c r="K28" s="504">
        <f t="shared" si="1"/>
        <v>800</v>
      </c>
      <c r="L28" s="505" t="s">
        <v>37</v>
      </c>
      <c r="M28" s="511" t="s">
        <v>350</v>
      </c>
      <c r="N28" s="504">
        <v>21.174810999999998</v>
      </c>
      <c r="O28" s="504">
        <v>79.055473000000006</v>
      </c>
      <c r="P28" s="506">
        <v>50000</v>
      </c>
      <c r="Q28" s="505">
        <v>60000</v>
      </c>
      <c r="R28" s="505">
        <v>100000</v>
      </c>
      <c r="S28" s="501"/>
      <c r="T28" s="501"/>
      <c r="U28" s="501"/>
      <c r="V28" s="501"/>
      <c r="W28" s="501"/>
      <c r="X28" s="501"/>
      <c r="Y28" s="501"/>
      <c r="Z28" s="501"/>
      <c r="AA28" s="501"/>
      <c r="AB28" s="501"/>
      <c r="AC28" s="501"/>
      <c r="AD28" s="501"/>
      <c r="AE28" s="501"/>
      <c r="AF28" s="501"/>
      <c r="AG28" s="501"/>
      <c r="AH28" s="501"/>
      <c r="AI28" s="501"/>
      <c r="AJ28" s="501"/>
      <c r="AK28" s="501"/>
      <c r="AL28" s="501"/>
      <c r="AM28" s="501"/>
      <c r="AN28" s="501"/>
      <c r="AO28" s="501"/>
      <c r="AP28" s="501"/>
      <c r="AQ28" s="501"/>
      <c r="AR28" s="501"/>
      <c r="AS28" s="501"/>
      <c r="AT28" s="501"/>
      <c r="AU28" s="501"/>
      <c r="AV28" s="501"/>
      <c r="AW28" s="501"/>
      <c r="AX28" s="501"/>
      <c r="AY28" s="501"/>
      <c r="AZ28" s="501"/>
      <c r="BA28" s="501"/>
      <c r="BB28" s="501"/>
      <c r="BC28" s="501"/>
      <c r="BD28" s="501"/>
      <c r="BE28" s="501"/>
      <c r="BF28" s="501"/>
      <c r="BG28" s="501"/>
      <c r="BH28" s="501"/>
      <c r="BI28" s="501"/>
      <c r="BJ28" s="501"/>
      <c r="BK28" s="501"/>
      <c r="BL28" s="501"/>
      <c r="BM28" s="501"/>
      <c r="BN28" s="501"/>
      <c r="BO28" s="501"/>
      <c r="BP28" s="501"/>
      <c r="BQ28" s="501"/>
      <c r="BR28" s="501"/>
      <c r="BS28" s="501"/>
      <c r="BT28" s="501"/>
      <c r="BU28" s="501"/>
      <c r="BV28" s="501"/>
      <c r="BW28" s="501"/>
      <c r="BX28" s="501"/>
      <c r="BY28" s="501"/>
      <c r="BZ28" s="501"/>
      <c r="CA28" s="501"/>
      <c r="CB28" s="501"/>
      <c r="CC28" s="501"/>
      <c r="CD28" s="501"/>
      <c r="CE28" s="501"/>
      <c r="CF28" s="501"/>
      <c r="CG28" s="501"/>
      <c r="CH28" s="501"/>
      <c r="CI28" s="501"/>
      <c r="CJ28" s="501"/>
      <c r="CK28" s="501"/>
      <c r="CL28" s="501"/>
      <c r="CM28" s="501"/>
      <c r="CN28" s="501"/>
      <c r="CO28" s="501"/>
      <c r="CP28" s="501"/>
      <c r="CQ28" s="501"/>
      <c r="CR28" s="501"/>
      <c r="CS28" s="501"/>
      <c r="CT28" s="501"/>
      <c r="CU28" s="501"/>
      <c r="CV28" s="501"/>
      <c r="CW28" s="501"/>
      <c r="CX28" s="501"/>
      <c r="CY28" s="501"/>
      <c r="CZ28" s="501"/>
      <c r="DA28" s="501"/>
      <c r="DB28" s="501"/>
      <c r="DC28" s="501"/>
      <c r="DD28" s="501"/>
      <c r="DE28" s="501"/>
      <c r="DF28" s="501"/>
      <c r="DG28" s="501"/>
      <c r="DH28" s="501"/>
      <c r="DI28" s="501"/>
      <c r="DJ28" s="501"/>
      <c r="DK28" s="501"/>
      <c r="DL28" s="501"/>
      <c r="DM28" s="501"/>
      <c r="DN28" s="501"/>
      <c r="DO28" s="501"/>
      <c r="DP28" s="501"/>
      <c r="DQ28" s="501"/>
      <c r="DR28" s="501"/>
      <c r="DS28" s="501"/>
      <c r="DT28" s="501"/>
      <c r="DU28" s="501"/>
      <c r="DV28" s="501"/>
      <c r="DW28" s="501"/>
      <c r="DX28" s="501"/>
      <c r="DY28" s="501"/>
      <c r="DZ28" s="501"/>
      <c r="EA28" s="501"/>
      <c r="EB28" s="501"/>
      <c r="EC28" s="501"/>
      <c r="ED28" s="501"/>
      <c r="EE28" s="501"/>
      <c r="EF28" s="501"/>
      <c r="EG28" s="501"/>
      <c r="EH28" s="501"/>
      <c r="EI28" s="501"/>
      <c r="EJ28" s="501"/>
      <c r="EK28" s="501"/>
      <c r="EL28" s="501"/>
      <c r="EM28" s="501"/>
      <c r="EN28" s="501"/>
      <c r="EO28" s="501"/>
      <c r="EP28" s="501"/>
      <c r="EQ28" s="501"/>
      <c r="ER28" s="501"/>
      <c r="ES28" s="501"/>
      <c r="ET28" s="501"/>
      <c r="EU28" s="501"/>
      <c r="EV28" s="501"/>
      <c r="EW28" s="501"/>
      <c r="EX28" s="501"/>
      <c r="EY28" s="501"/>
      <c r="EZ28" s="501"/>
      <c r="FA28" s="501"/>
      <c r="FB28" s="501"/>
      <c r="FC28" s="501"/>
      <c r="FD28" s="501"/>
      <c r="FE28" s="501"/>
      <c r="FF28" s="501"/>
      <c r="FG28" s="501"/>
      <c r="FH28" s="501"/>
      <c r="FI28" s="501"/>
      <c r="FJ28" s="501"/>
      <c r="FK28" s="501"/>
      <c r="FL28" s="501"/>
      <c r="FM28" s="501"/>
      <c r="FN28" s="501"/>
      <c r="FO28" s="501"/>
      <c r="FP28" s="501"/>
      <c r="FQ28" s="501"/>
      <c r="FR28" s="501"/>
      <c r="FS28" s="501"/>
      <c r="FT28" s="501"/>
      <c r="FU28" s="501"/>
      <c r="FV28" s="501"/>
      <c r="FW28" s="501"/>
      <c r="FX28" s="501"/>
      <c r="FY28" s="501"/>
      <c r="FZ28" s="501"/>
      <c r="GA28" s="501"/>
      <c r="GB28" s="501"/>
      <c r="GC28" s="501"/>
      <c r="GD28" s="501"/>
      <c r="GE28" s="501"/>
      <c r="GF28" s="501"/>
      <c r="GG28" s="501"/>
      <c r="GH28" s="501"/>
      <c r="GI28" s="501"/>
      <c r="GJ28" s="501"/>
      <c r="GK28" s="501"/>
      <c r="GL28" s="501"/>
      <c r="GM28" s="501"/>
      <c r="GN28" s="501"/>
      <c r="GO28" s="501"/>
      <c r="GP28" s="501"/>
      <c r="GQ28" s="501"/>
      <c r="GR28" s="501"/>
      <c r="GS28" s="501"/>
      <c r="GT28" s="501"/>
      <c r="GU28" s="501"/>
      <c r="GV28" s="501"/>
      <c r="GW28" s="501"/>
      <c r="GX28" s="501"/>
      <c r="GY28" s="501"/>
      <c r="GZ28" s="501"/>
      <c r="HA28" s="501"/>
      <c r="HB28" s="501"/>
      <c r="HC28" s="501"/>
      <c r="HD28" s="501"/>
      <c r="HE28" s="501"/>
      <c r="HF28" s="501"/>
      <c r="HG28" s="501"/>
      <c r="HH28" s="501"/>
      <c r="HI28" s="501"/>
      <c r="HJ28" s="501"/>
      <c r="HK28" s="501"/>
      <c r="HL28" s="501"/>
      <c r="HM28" s="501"/>
      <c r="HN28" s="501"/>
      <c r="HO28" s="501"/>
      <c r="HP28" s="501"/>
      <c r="HQ28" s="501"/>
      <c r="HR28" s="501"/>
      <c r="HS28" s="501"/>
      <c r="HT28" s="501"/>
      <c r="HU28" s="501"/>
      <c r="HV28" s="501"/>
      <c r="HW28" s="501"/>
      <c r="HX28" s="501"/>
      <c r="HY28" s="501"/>
      <c r="HZ28" s="501"/>
      <c r="IA28" s="501"/>
      <c r="IB28" s="501"/>
      <c r="IC28" s="501"/>
      <c r="ID28" s="501"/>
      <c r="IE28" s="501"/>
      <c r="IF28" s="501"/>
      <c r="IG28" s="501"/>
      <c r="IH28" s="501"/>
      <c r="II28" s="501"/>
      <c r="IJ28" s="501"/>
      <c r="IK28" s="501"/>
      <c r="IL28" s="501"/>
      <c r="IM28" s="501"/>
      <c r="IN28" s="501"/>
      <c r="IO28" s="501"/>
      <c r="IP28" s="501"/>
      <c r="IQ28" s="501"/>
      <c r="IR28" s="501"/>
      <c r="IS28" s="501"/>
      <c r="IT28" s="501"/>
      <c r="IU28" s="501"/>
      <c r="IV28" s="501"/>
      <c r="IW28" s="501"/>
      <c r="IX28" s="501"/>
      <c r="IY28" s="501"/>
      <c r="IZ28" s="501"/>
      <c r="JA28" s="501"/>
      <c r="JB28" s="501"/>
      <c r="JC28" s="501"/>
      <c r="JD28" s="501"/>
      <c r="JE28" s="501"/>
      <c r="JF28" s="501"/>
      <c r="JG28" s="501"/>
      <c r="JH28" s="501"/>
      <c r="JI28" s="501"/>
      <c r="JJ28" s="501"/>
      <c r="JK28" s="501"/>
      <c r="JL28" s="501"/>
      <c r="JM28" s="501"/>
      <c r="JN28" s="501"/>
      <c r="JO28" s="501"/>
      <c r="JP28" s="501"/>
      <c r="JQ28" s="501"/>
      <c r="JR28" s="501"/>
      <c r="JS28" s="501"/>
      <c r="JT28" s="501"/>
      <c r="JU28" s="501"/>
      <c r="JV28" s="501"/>
      <c r="JW28" s="501"/>
      <c r="JX28" s="501"/>
      <c r="JY28" s="501"/>
      <c r="JZ28" s="501"/>
      <c r="KA28" s="501"/>
      <c r="KB28" s="501"/>
      <c r="KC28" s="501"/>
      <c r="KD28" s="501"/>
      <c r="KE28" s="501"/>
      <c r="KF28" s="501"/>
      <c r="KG28" s="501"/>
      <c r="KH28" s="501"/>
      <c r="KI28" s="501"/>
      <c r="KJ28" s="501"/>
      <c r="KK28" s="501"/>
      <c r="KL28" s="501"/>
      <c r="KM28" s="501"/>
      <c r="KN28" s="501"/>
      <c r="KO28" s="501"/>
      <c r="KP28" s="501"/>
      <c r="KQ28" s="501"/>
      <c r="KR28" s="501"/>
      <c r="KS28" s="501"/>
      <c r="KT28" s="501"/>
      <c r="KU28" s="501"/>
      <c r="KV28" s="501"/>
      <c r="KW28" s="501"/>
      <c r="KX28" s="501"/>
      <c r="KY28" s="501"/>
      <c r="KZ28" s="501"/>
      <c r="LA28" s="501"/>
      <c r="LB28" s="501"/>
      <c r="LC28" s="501"/>
      <c r="LD28" s="501"/>
      <c r="LE28" s="501"/>
      <c r="LF28" s="501"/>
      <c r="LG28" s="501"/>
      <c r="LH28" s="501"/>
      <c r="LI28" s="501"/>
      <c r="LJ28" s="501"/>
      <c r="LK28" s="501"/>
      <c r="LL28" s="501"/>
      <c r="LM28" s="501"/>
      <c r="LN28" s="501"/>
      <c r="LO28" s="501"/>
      <c r="LP28" s="501"/>
      <c r="LQ28" s="501"/>
      <c r="LR28" s="501"/>
      <c r="LS28" s="501"/>
      <c r="LT28" s="501"/>
      <c r="LU28" s="501"/>
      <c r="LV28" s="501"/>
      <c r="LW28" s="501"/>
      <c r="LX28" s="501"/>
      <c r="LY28" s="501"/>
      <c r="LZ28" s="501"/>
      <c r="MA28" s="501"/>
      <c r="MB28" s="501"/>
      <c r="MC28" s="501"/>
      <c r="MD28" s="501"/>
      <c r="ME28" s="501"/>
      <c r="MF28" s="501"/>
      <c r="MG28" s="501"/>
      <c r="MH28" s="501"/>
      <c r="MI28" s="501"/>
      <c r="MJ28" s="501"/>
      <c r="MK28" s="501"/>
      <c r="ML28" s="501"/>
      <c r="MM28" s="501"/>
      <c r="MN28" s="501"/>
      <c r="MO28" s="501"/>
      <c r="MP28" s="501"/>
      <c r="MQ28" s="501"/>
      <c r="MR28" s="501"/>
      <c r="MS28" s="501"/>
      <c r="MT28" s="501"/>
      <c r="MU28" s="501"/>
      <c r="MV28" s="501"/>
      <c r="MW28" s="501"/>
      <c r="MX28" s="501"/>
      <c r="MY28" s="501"/>
      <c r="MZ28" s="501"/>
      <c r="NA28" s="501"/>
      <c r="NB28" s="501"/>
      <c r="NC28" s="501"/>
      <c r="ND28" s="501"/>
      <c r="NE28" s="501"/>
      <c r="NF28" s="501"/>
      <c r="NG28" s="501"/>
      <c r="NH28" s="501"/>
      <c r="NI28" s="501"/>
      <c r="NJ28" s="501"/>
      <c r="NK28" s="501"/>
      <c r="NL28" s="501"/>
      <c r="NM28" s="501"/>
      <c r="NN28" s="501"/>
      <c r="NO28" s="501"/>
      <c r="NP28" s="501"/>
      <c r="NQ28" s="501"/>
      <c r="NR28" s="501"/>
      <c r="NS28" s="501"/>
      <c r="NT28" s="501"/>
      <c r="NU28" s="501"/>
      <c r="NV28" s="501"/>
      <c r="NW28" s="501"/>
      <c r="NX28" s="501"/>
      <c r="NY28" s="501"/>
      <c r="NZ28" s="501"/>
      <c r="OA28" s="501"/>
      <c r="OB28" s="501"/>
      <c r="OC28" s="501"/>
      <c r="OD28" s="501"/>
      <c r="OE28" s="501"/>
      <c r="OF28" s="501"/>
      <c r="OG28" s="501"/>
      <c r="OH28" s="501"/>
      <c r="OI28" s="501"/>
      <c r="OJ28" s="501"/>
      <c r="OK28" s="501"/>
      <c r="OL28" s="501"/>
      <c r="OM28" s="501"/>
      <c r="ON28" s="501"/>
      <c r="OO28" s="501"/>
      <c r="OP28" s="501"/>
      <c r="OQ28" s="501"/>
      <c r="OR28" s="501"/>
      <c r="OS28" s="501"/>
      <c r="OT28" s="501"/>
      <c r="OU28" s="501"/>
      <c r="OV28" s="501"/>
      <c r="OW28" s="501"/>
      <c r="OX28" s="501"/>
      <c r="OY28" s="501"/>
      <c r="OZ28" s="501"/>
      <c r="PA28" s="501"/>
      <c r="PB28" s="501"/>
      <c r="PC28" s="501"/>
      <c r="PD28" s="501"/>
      <c r="PE28" s="501"/>
      <c r="PF28" s="501"/>
      <c r="PG28" s="501"/>
      <c r="PH28" s="501"/>
      <c r="PI28" s="501"/>
      <c r="PJ28" s="501"/>
      <c r="PK28" s="501"/>
      <c r="PL28" s="501"/>
      <c r="PM28" s="501"/>
      <c r="PN28" s="501"/>
      <c r="PO28" s="501"/>
      <c r="PP28" s="501"/>
      <c r="PQ28" s="501"/>
      <c r="PR28" s="501"/>
      <c r="PS28" s="501"/>
      <c r="PT28" s="501"/>
      <c r="PU28" s="501"/>
      <c r="PV28" s="501"/>
      <c r="PW28" s="501"/>
      <c r="PX28" s="501"/>
      <c r="PY28" s="501"/>
      <c r="PZ28" s="501"/>
      <c r="QA28" s="501"/>
      <c r="QB28" s="501"/>
      <c r="QC28" s="501"/>
      <c r="QD28" s="501"/>
      <c r="QE28" s="501"/>
      <c r="QF28" s="501"/>
      <c r="QG28" s="501"/>
      <c r="QH28" s="501"/>
      <c r="QI28" s="501"/>
      <c r="QJ28" s="501"/>
      <c r="QK28" s="501"/>
      <c r="QL28" s="501"/>
      <c r="QM28" s="501"/>
      <c r="QN28" s="501"/>
      <c r="QO28" s="501"/>
      <c r="QP28" s="501"/>
      <c r="QQ28" s="501"/>
      <c r="QR28" s="501"/>
      <c r="QS28" s="501"/>
      <c r="QT28" s="501"/>
      <c r="QU28" s="501"/>
      <c r="QV28" s="501"/>
      <c r="QW28" s="501"/>
      <c r="QX28" s="501"/>
      <c r="QY28" s="501"/>
      <c r="QZ28" s="501"/>
      <c r="RA28" s="501"/>
      <c r="RB28" s="501"/>
      <c r="RC28" s="501"/>
      <c r="RD28" s="501"/>
      <c r="RE28" s="501"/>
      <c r="RF28" s="501"/>
      <c r="RG28" s="501"/>
      <c r="RH28" s="501"/>
      <c r="RI28" s="501"/>
      <c r="RJ28" s="501"/>
      <c r="RK28" s="501"/>
      <c r="RL28" s="501"/>
      <c r="RM28" s="501"/>
      <c r="RN28" s="501"/>
      <c r="RO28" s="501"/>
      <c r="RP28" s="501"/>
      <c r="RQ28" s="501"/>
      <c r="RR28" s="501"/>
      <c r="RS28" s="501"/>
      <c r="RT28" s="501"/>
      <c r="RU28" s="501"/>
      <c r="RV28" s="501"/>
      <c r="RW28" s="501"/>
      <c r="RX28" s="501"/>
      <c r="RY28" s="501"/>
      <c r="RZ28" s="501"/>
      <c r="SA28" s="501"/>
      <c r="SB28" s="501"/>
      <c r="SC28" s="501"/>
      <c r="SD28" s="501"/>
      <c r="SE28" s="501"/>
      <c r="SF28" s="501"/>
      <c r="SG28" s="501"/>
      <c r="SH28" s="501"/>
      <c r="SI28" s="501"/>
      <c r="SJ28" s="501"/>
      <c r="SK28" s="501"/>
      <c r="SL28" s="501"/>
      <c r="SM28" s="501"/>
      <c r="SN28" s="501"/>
      <c r="SO28" s="501"/>
      <c r="SP28" s="501"/>
      <c r="SQ28" s="501"/>
      <c r="SR28" s="501"/>
      <c r="SS28" s="501"/>
      <c r="ST28" s="501"/>
      <c r="SU28" s="501"/>
      <c r="SV28" s="501"/>
      <c r="SW28" s="501"/>
      <c r="SX28" s="501"/>
      <c r="SY28" s="501"/>
      <c r="SZ28" s="501"/>
      <c r="TA28" s="501"/>
      <c r="TB28" s="501"/>
      <c r="TC28" s="501"/>
      <c r="TD28" s="501"/>
      <c r="TE28" s="501"/>
      <c r="TF28" s="501"/>
      <c r="TG28" s="501"/>
      <c r="TH28" s="501"/>
      <c r="TI28" s="501"/>
      <c r="TJ28" s="501"/>
      <c r="TK28" s="501"/>
      <c r="TL28" s="501"/>
      <c r="TM28" s="501"/>
      <c r="TN28" s="501"/>
      <c r="TO28" s="501"/>
      <c r="TP28" s="501"/>
      <c r="TQ28" s="501"/>
      <c r="TR28" s="501"/>
      <c r="TS28" s="501"/>
      <c r="TT28" s="501"/>
      <c r="TU28" s="501"/>
      <c r="TV28" s="501"/>
      <c r="TW28" s="501"/>
      <c r="TX28" s="501"/>
      <c r="TY28" s="501"/>
      <c r="TZ28" s="501"/>
      <c r="UA28" s="501"/>
      <c r="UB28" s="501"/>
      <c r="UC28" s="501"/>
      <c r="UD28" s="501"/>
      <c r="UE28" s="501"/>
      <c r="UF28" s="501"/>
      <c r="UG28" s="501"/>
      <c r="UH28" s="501"/>
      <c r="UI28" s="501"/>
      <c r="UJ28" s="501"/>
      <c r="UK28" s="501"/>
      <c r="UL28" s="501"/>
      <c r="UM28" s="501"/>
      <c r="UN28" s="501"/>
      <c r="UO28" s="501"/>
      <c r="UP28" s="501"/>
      <c r="UQ28" s="501"/>
      <c r="UR28" s="501"/>
      <c r="US28" s="501"/>
      <c r="UT28" s="501"/>
      <c r="UU28" s="501"/>
      <c r="UV28" s="501"/>
      <c r="UW28" s="501"/>
      <c r="UX28" s="501"/>
      <c r="UY28" s="501"/>
      <c r="UZ28" s="501"/>
      <c r="VA28" s="501"/>
      <c r="VB28" s="501"/>
      <c r="VC28" s="501"/>
      <c r="VD28" s="501"/>
      <c r="VE28" s="501"/>
      <c r="VF28" s="501"/>
      <c r="VG28" s="501"/>
      <c r="VH28" s="501"/>
      <c r="VI28" s="501"/>
      <c r="VJ28" s="501"/>
      <c r="VK28" s="501"/>
      <c r="VL28" s="501"/>
      <c r="VM28" s="501"/>
      <c r="VN28" s="501"/>
      <c r="VO28" s="501"/>
      <c r="VP28" s="501"/>
      <c r="VQ28" s="501"/>
      <c r="VR28" s="501"/>
      <c r="VS28" s="501"/>
      <c r="VT28" s="501"/>
      <c r="VU28" s="501"/>
      <c r="VV28" s="501"/>
      <c r="VW28" s="501"/>
      <c r="VX28" s="501"/>
      <c r="VY28" s="501"/>
      <c r="VZ28" s="501"/>
      <c r="WA28" s="501"/>
      <c r="WB28" s="501"/>
      <c r="WC28" s="501"/>
      <c r="WD28" s="501"/>
      <c r="WE28" s="501"/>
      <c r="WF28" s="501"/>
      <c r="WG28" s="501"/>
      <c r="WH28" s="501"/>
      <c r="WI28" s="501"/>
      <c r="WJ28" s="501"/>
      <c r="WK28" s="501"/>
      <c r="WL28" s="501"/>
      <c r="WM28" s="501"/>
      <c r="WN28" s="501"/>
      <c r="WO28" s="501"/>
      <c r="WP28" s="501"/>
      <c r="WQ28" s="501"/>
      <c r="WR28" s="501"/>
      <c r="WS28" s="501"/>
      <c r="WT28" s="501"/>
      <c r="WU28" s="501"/>
      <c r="WV28" s="501"/>
      <c r="WW28" s="501"/>
      <c r="WX28" s="501"/>
      <c r="WY28" s="501"/>
      <c r="WZ28" s="501"/>
      <c r="XA28" s="501"/>
      <c r="XB28" s="501"/>
      <c r="XC28" s="501"/>
      <c r="XD28" s="501"/>
      <c r="XE28" s="501"/>
      <c r="XF28" s="501"/>
      <c r="XG28" s="501"/>
      <c r="XH28" s="501"/>
      <c r="XI28" s="501"/>
      <c r="XJ28" s="501"/>
      <c r="XK28" s="501"/>
      <c r="XL28" s="501"/>
      <c r="XM28" s="501"/>
      <c r="XN28" s="501"/>
      <c r="XO28" s="501"/>
      <c r="XP28" s="501"/>
      <c r="XQ28" s="501"/>
      <c r="XR28" s="501"/>
      <c r="XS28" s="501"/>
      <c r="XT28" s="501"/>
      <c r="XU28" s="501"/>
      <c r="XV28" s="501"/>
      <c r="XW28" s="501"/>
      <c r="XX28" s="501"/>
      <c r="XY28" s="501"/>
      <c r="XZ28" s="501"/>
      <c r="YA28" s="501"/>
      <c r="YB28" s="501"/>
      <c r="YC28" s="501"/>
      <c r="YD28" s="501"/>
      <c r="YE28" s="501"/>
      <c r="YF28" s="501"/>
      <c r="YG28" s="501"/>
      <c r="YH28" s="501"/>
      <c r="YI28" s="501"/>
      <c r="YJ28" s="501"/>
      <c r="YK28" s="501"/>
      <c r="YL28" s="501"/>
      <c r="YM28" s="501"/>
      <c r="YN28" s="501"/>
      <c r="YO28" s="501"/>
      <c r="YP28" s="501"/>
      <c r="YQ28" s="501"/>
      <c r="YR28" s="501"/>
      <c r="YS28" s="501"/>
      <c r="YT28" s="501"/>
      <c r="YU28" s="501"/>
      <c r="YV28" s="501"/>
      <c r="YW28" s="501"/>
      <c r="YX28" s="501"/>
      <c r="YY28" s="501"/>
      <c r="YZ28" s="501"/>
      <c r="ZA28" s="501"/>
      <c r="ZB28" s="501"/>
      <c r="ZC28" s="501"/>
      <c r="ZD28" s="501"/>
      <c r="ZE28" s="501"/>
      <c r="ZF28" s="501"/>
      <c r="ZG28" s="501"/>
      <c r="ZH28" s="501"/>
      <c r="ZI28" s="501"/>
      <c r="ZJ28" s="501"/>
      <c r="ZK28" s="501"/>
      <c r="ZL28" s="501"/>
      <c r="ZM28" s="501"/>
      <c r="ZN28" s="501"/>
      <c r="ZO28" s="501"/>
      <c r="ZP28" s="501"/>
      <c r="ZQ28" s="501"/>
      <c r="ZR28" s="501"/>
      <c r="ZS28" s="501"/>
      <c r="ZT28" s="501"/>
      <c r="ZU28" s="501"/>
      <c r="ZV28" s="501"/>
      <c r="ZW28" s="501"/>
      <c r="ZX28" s="501"/>
      <c r="ZY28" s="501"/>
      <c r="ZZ28" s="501"/>
      <c r="AAA28" s="501"/>
      <c r="AAB28" s="501"/>
      <c r="AAC28" s="501"/>
      <c r="AAD28" s="501"/>
      <c r="AAE28" s="501"/>
      <c r="AAF28" s="501"/>
      <c r="AAG28" s="501"/>
      <c r="AAH28" s="501"/>
      <c r="AAI28" s="501"/>
      <c r="AAJ28" s="501"/>
      <c r="AAK28" s="501"/>
      <c r="AAL28" s="501"/>
      <c r="AAM28" s="501"/>
      <c r="AAN28" s="501"/>
      <c r="AAO28" s="501"/>
      <c r="AAP28" s="501"/>
      <c r="AAQ28" s="501"/>
      <c r="AAR28" s="501"/>
      <c r="AAS28" s="501"/>
      <c r="AAT28" s="501"/>
      <c r="AAU28" s="501"/>
      <c r="AAV28" s="501"/>
      <c r="AAW28" s="501"/>
      <c r="AAX28" s="501"/>
      <c r="AAY28" s="501"/>
      <c r="AAZ28" s="501"/>
      <c r="ABA28" s="501"/>
      <c r="ABB28" s="501"/>
      <c r="ABC28" s="501"/>
      <c r="ABD28" s="501"/>
      <c r="ABE28" s="501"/>
      <c r="ABF28" s="501"/>
      <c r="ABG28" s="501"/>
      <c r="ABH28" s="501"/>
      <c r="ABI28" s="501"/>
      <c r="ABJ28" s="501"/>
      <c r="ABK28" s="501"/>
      <c r="ABL28" s="501"/>
      <c r="ABM28" s="501"/>
      <c r="ABN28" s="501"/>
      <c r="ABO28" s="501"/>
      <c r="ABP28" s="501"/>
      <c r="ABQ28" s="501"/>
      <c r="ABR28" s="501"/>
      <c r="ABS28" s="501"/>
      <c r="ABT28" s="501"/>
      <c r="ABU28" s="501"/>
      <c r="ABV28" s="501"/>
      <c r="ABW28" s="501"/>
      <c r="ABX28" s="501"/>
      <c r="ABY28" s="501"/>
      <c r="ABZ28" s="501"/>
      <c r="ACA28" s="501"/>
      <c r="ACB28" s="501"/>
      <c r="ACC28" s="501"/>
      <c r="ACD28" s="501"/>
      <c r="ACE28" s="501"/>
      <c r="ACF28" s="501"/>
      <c r="ACG28" s="501"/>
      <c r="ACH28" s="501"/>
      <c r="ACI28" s="501"/>
      <c r="ACJ28" s="501"/>
      <c r="ACK28" s="501"/>
      <c r="ACL28" s="501"/>
      <c r="ACM28" s="501"/>
      <c r="ACN28" s="501"/>
      <c r="ACO28" s="501"/>
      <c r="ACP28" s="501"/>
      <c r="ACQ28" s="501"/>
      <c r="ACR28" s="501"/>
      <c r="ACS28" s="501"/>
      <c r="ACT28" s="501"/>
      <c r="ACU28" s="501"/>
      <c r="ACV28" s="501"/>
      <c r="ACW28" s="501"/>
      <c r="ACX28" s="501"/>
      <c r="ACY28" s="501"/>
      <c r="ACZ28" s="501"/>
      <c r="ADA28" s="501"/>
      <c r="ADB28" s="501"/>
      <c r="ADC28" s="501"/>
      <c r="ADD28" s="501"/>
      <c r="ADE28" s="501"/>
      <c r="ADF28" s="501"/>
      <c r="ADG28" s="501"/>
      <c r="ADH28" s="501"/>
      <c r="ADI28" s="501"/>
      <c r="ADJ28" s="501"/>
      <c r="ADK28" s="501"/>
      <c r="ADL28" s="501"/>
      <c r="ADM28" s="501"/>
      <c r="ADN28" s="501"/>
      <c r="ADO28" s="501"/>
      <c r="ADP28" s="501"/>
      <c r="ADQ28" s="501"/>
      <c r="ADR28" s="501"/>
      <c r="ADS28" s="501"/>
      <c r="ADT28" s="501"/>
      <c r="ADU28" s="501"/>
      <c r="ADV28" s="501"/>
      <c r="ADW28" s="501"/>
      <c r="ADX28" s="501"/>
      <c r="ADY28" s="501"/>
      <c r="ADZ28" s="501"/>
      <c r="AEA28" s="501"/>
      <c r="AEB28" s="501"/>
      <c r="AEC28" s="501"/>
      <c r="AED28" s="501"/>
      <c r="AEE28" s="501"/>
      <c r="AEF28" s="501"/>
      <c r="AEG28" s="501"/>
      <c r="AEH28" s="501"/>
      <c r="AEI28" s="501"/>
      <c r="AEJ28" s="501"/>
      <c r="AEK28" s="501"/>
      <c r="AEL28" s="501"/>
      <c r="AEM28" s="501"/>
      <c r="AEN28" s="501"/>
      <c r="AEO28" s="501"/>
      <c r="AEP28" s="501"/>
      <c r="AEQ28" s="501"/>
      <c r="AER28" s="501"/>
      <c r="AES28" s="501"/>
      <c r="AET28" s="501"/>
      <c r="AEU28" s="501"/>
      <c r="AEV28" s="501"/>
      <c r="AEW28" s="501"/>
      <c r="AEX28" s="501"/>
      <c r="AEY28" s="501"/>
      <c r="AEZ28" s="501"/>
      <c r="AFA28" s="501"/>
      <c r="AFB28" s="501"/>
      <c r="AFC28" s="501"/>
      <c r="AFD28" s="501"/>
      <c r="AFE28" s="501"/>
      <c r="AFF28" s="501"/>
      <c r="AFG28" s="501"/>
      <c r="AFH28" s="501"/>
      <c r="AFI28" s="501"/>
      <c r="AFJ28" s="501"/>
      <c r="AFK28" s="501"/>
      <c r="AFL28" s="501"/>
      <c r="AFM28" s="501"/>
      <c r="AFN28" s="501"/>
      <c r="AFO28" s="501"/>
      <c r="AFP28" s="501"/>
      <c r="AFQ28" s="501"/>
      <c r="AFR28" s="501"/>
      <c r="AFS28" s="501"/>
      <c r="AFT28" s="501"/>
      <c r="AFU28" s="501"/>
      <c r="AFV28" s="501"/>
      <c r="AFW28" s="501"/>
      <c r="AFX28" s="501"/>
      <c r="AFY28" s="501"/>
      <c r="AFZ28" s="501"/>
      <c r="AGA28" s="501"/>
      <c r="AGB28" s="501"/>
      <c r="AGC28" s="501"/>
      <c r="AGD28" s="501"/>
      <c r="AGE28" s="501"/>
      <c r="AGF28" s="501"/>
      <c r="AGG28" s="501"/>
      <c r="AGH28" s="501"/>
      <c r="AGI28" s="501"/>
      <c r="AGJ28" s="501"/>
      <c r="AGK28" s="501"/>
      <c r="AGL28" s="501"/>
      <c r="AGM28" s="501"/>
      <c r="AGN28" s="501"/>
      <c r="AGO28" s="501"/>
      <c r="AGP28" s="501"/>
      <c r="AGQ28" s="501"/>
      <c r="AGR28" s="501"/>
      <c r="AGS28" s="501"/>
      <c r="AGT28" s="501"/>
      <c r="AGU28" s="501"/>
      <c r="AGV28" s="501"/>
      <c r="AGW28" s="501"/>
      <c r="AGX28" s="501"/>
      <c r="AGY28" s="501"/>
      <c r="AGZ28" s="501"/>
      <c r="AHA28" s="501"/>
      <c r="AHB28" s="501"/>
      <c r="AHC28" s="501"/>
      <c r="AHD28" s="501"/>
      <c r="AHE28" s="501"/>
      <c r="AHF28" s="501"/>
      <c r="AHG28" s="501"/>
      <c r="AHH28" s="501"/>
      <c r="AHI28" s="501"/>
      <c r="AHJ28" s="501"/>
      <c r="AHK28" s="501"/>
      <c r="AHL28" s="501"/>
      <c r="AHM28" s="501"/>
      <c r="AHN28" s="501"/>
      <c r="AHO28" s="501"/>
      <c r="AHP28" s="501"/>
      <c r="AHQ28" s="501"/>
      <c r="AHR28" s="501"/>
      <c r="AHS28" s="501"/>
      <c r="AHT28" s="501"/>
      <c r="AHU28" s="501"/>
      <c r="AHV28" s="501"/>
      <c r="AHW28" s="501"/>
      <c r="AHX28" s="501"/>
      <c r="AHY28" s="501"/>
      <c r="AHZ28" s="501"/>
      <c r="AIA28" s="501"/>
      <c r="AIB28" s="501"/>
      <c r="AIC28" s="501"/>
      <c r="AID28" s="501"/>
      <c r="AIE28" s="501"/>
      <c r="AIF28" s="501"/>
      <c r="AIG28" s="501"/>
      <c r="AIH28" s="501"/>
      <c r="AII28" s="501"/>
      <c r="AIJ28" s="501"/>
      <c r="AIK28" s="501"/>
      <c r="AIL28" s="501"/>
      <c r="AIM28" s="501"/>
      <c r="AIN28" s="501"/>
      <c r="AIO28" s="501"/>
      <c r="AIP28" s="501"/>
      <c r="AIQ28" s="501"/>
      <c r="AIR28" s="501"/>
      <c r="AIS28" s="501"/>
      <c r="AIT28" s="501"/>
      <c r="AIU28" s="501"/>
      <c r="AIV28" s="501"/>
      <c r="AIW28" s="501"/>
      <c r="AIX28" s="501"/>
      <c r="AIY28" s="501"/>
      <c r="AIZ28" s="501"/>
      <c r="AJA28" s="501"/>
      <c r="AJB28" s="501"/>
      <c r="AJC28" s="501"/>
      <c r="AJD28" s="501"/>
      <c r="AJE28" s="501"/>
      <c r="AJF28" s="501"/>
      <c r="AJG28" s="501"/>
      <c r="AJH28" s="501"/>
      <c r="AJI28" s="501"/>
      <c r="AJJ28" s="501"/>
      <c r="AJK28" s="501"/>
      <c r="AJL28" s="501"/>
      <c r="AJM28" s="501"/>
      <c r="AJN28" s="501"/>
      <c r="AJO28" s="501"/>
      <c r="AJP28" s="501"/>
      <c r="AJQ28" s="501"/>
      <c r="AJR28" s="501"/>
      <c r="AJS28" s="501"/>
      <c r="AJT28" s="501"/>
      <c r="AJU28" s="501"/>
      <c r="AJV28" s="501"/>
      <c r="AJW28" s="501"/>
      <c r="AJX28" s="501"/>
      <c r="AJY28" s="501"/>
      <c r="AJZ28" s="501"/>
      <c r="AKA28" s="501"/>
      <c r="AKB28" s="501"/>
      <c r="AKC28" s="501"/>
      <c r="AKD28" s="501"/>
      <c r="AKE28" s="501"/>
      <c r="AKF28" s="501"/>
      <c r="AKG28" s="501"/>
      <c r="AKH28" s="501"/>
      <c r="AKI28" s="501"/>
      <c r="AKJ28" s="501"/>
      <c r="AKK28" s="501"/>
      <c r="AKL28" s="501"/>
      <c r="AKM28" s="501"/>
      <c r="AKN28" s="501"/>
      <c r="AKO28" s="501"/>
      <c r="AKP28" s="501"/>
      <c r="AKQ28" s="501"/>
      <c r="AKR28" s="501"/>
      <c r="AKS28" s="501"/>
      <c r="AKT28" s="501"/>
      <c r="AKU28" s="501"/>
      <c r="AKV28" s="501"/>
      <c r="AKW28" s="501"/>
      <c r="AKX28" s="501"/>
      <c r="AKY28" s="501"/>
      <c r="AKZ28" s="501"/>
      <c r="ALA28" s="501"/>
      <c r="ALB28" s="501"/>
      <c r="ALC28" s="501"/>
      <c r="ALD28" s="501"/>
      <c r="ALE28" s="501"/>
      <c r="ALF28" s="501"/>
      <c r="ALG28" s="501"/>
      <c r="ALH28" s="501"/>
      <c r="ALI28" s="501"/>
      <c r="ALJ28" s="501"/>
      <c r="ALK28" s="501"/>
      <c r="ALL28" s="501"/>
      <c r="ALM28" s="501"/>
      <c r="ALN28" s="501"/>
      <c r="ALO28" s="501"/>
      <c r="ALP28" s="501"/>
      <c r="ALQ28" s="501"/>
      <c r="ALR28" s="501"/>
      <c r="ALS28" s="501"/>
      <c r="ALT28" s="501"/>
      <c r="ALU28" s="501"/>
      <c r="ALV28" s="501"/>
      <c r="ALW28" s="501"/>
      <c r="ALX28" s="501"/>
      <c r="ALY28" s="501"/>
      <c r="ALZ28" s="501"/>
      <c r="AMA28" s="501"/>
      <c r="AMB28" s="501"/>
      <c r="AMC28" s="501"/>
      <c r="AMD28" s="501"/>
      <c r="AME28" s="501"/>
      <c r="AMF28" s="501"/>
      <c r="AMG28" s="501"/>
      <c r="AMH28" s="501"/>
      <c r="AMI28" s="501"/>
      <c r="AMJ28" s="501"/>
      <c r="AMK28" s="501"/>
      <c r="AML28" s="501"/>
      <c r="AMM28" s="501"/>
      <c r="AMN28" s="501"/>
      <c r="AMO28" s="501"/>
      <c r="AMP28" s="501"/>
      <c r="AMQ28" s="501"/>
      <c r="AMR28" s="501"/>
      <c r="AMS28" s="501"/>
      <c r="AMT28" s="501"/>
      <c r="AMU28" s="501"/>
      <c r="AMV28" s="501"/>
      <c r="AMW28" s="501"/>
      <c r="AMX28" s="501"/>
      <c r="AMY28" s="501"/>
      <c r="AMZ28" s="501"/>
      <c r="ANA28" s="501"/>
      <c r="ANB28" s="501"/>
      <c r="ANC28" s="501"/>
      <c r="AND28" s="501"/>
      <c r="ANE28" s="501"/>
      <c r="ANF28" s="501"/>
      <c r="ANG28" s="501"/>
      <c r="ANH28" s="501"/>
      <c r="ANI28" s="501"/>
      <c r="ANJ28" s="501"/>
      <c r="ANK28" s="501"/>
      <c r="ANL28" s="501"/>
      <c r="ANM28" s="501"/>
      <c r="ANN28" s="501"/>
      <c r="ANO28" s="501"/>
      <c r="ANP28" s="501"/>
      <c r="ANQ28" s="501"/>
      <c r="ANR28" s="501"/>
      <c r="ANS28" s="501"/>
      <c r="ANT28" s="501"/>
      <c r="ANU28" s="501"/>
      <c r="ANV28" s="501"/>
      <c r="ANW28" s="501"/>
      <c r="ANX28" s="501"/>
      <c r="ANY28" s="501"/>
      <c r="ANZ28" s="501"/>
      <c r="AOA28" s="501"/>
      <c r="AOB28" s="501"/>
      <c r="AOC28" s="501"/>
      <c r="AOD28" s="501"/>
      <c r="AOE28" s="501"/>
      <c r="AOF28" s="501"/>
      <c r="AOG28" s="501"/>
      <c r="AOH28" s="501"/>
      <c r="AOI28" s="501"/>
      <c r="AOJ28" s="501"/>
      <c r="AOK28" s="501"/>
      <c r="AOL28" s="501"/>
      <c r="AOM28" s="501"/>
      <c r="AON28" s="501"/>
      <c r="AOO28" s="501"/>
      <c r="AOP28" s="501"/>
      <c r="AOQ28" s="501"/>
      <c r="AOR28" s="501"/>
      <c r="AOS28" s="501"/>
      <c r="AOT28" s="501"/>
      <c r="AOU28" s="501"/>
      <c r="AOV28" s="501"/>
      <c r="AOW28" s="501"/>
      <c r="AOX28" s="501"/>
      <c r="AOY28" s="501"/>
      <c r="AOZ28" s="501"/>
      <c r="APA28" s="501"/>
      <c r="APB28" s="501"/>
      <c r="APC28" s="501"/>
      <c r="APD28" s="501"/>
      <c r="APE28" s="501"/>
      <c r="APF28" s="501"/>
      <c r="APG28" s="501"/>
      <c r="APH28" s="501"/>
      <c r="API28" s="501"/>
      <c r="APJ28" s="501"/>
      <c r="APK28" s="501"/>
      <c r="APL28" s="501"/>
      <c r="APM28" s="501"/>
      <c r="APN28" s="501"/>
      <c r="APO28" s="501"/>
      <c r="APP28" s="501"/>
      <c r="APQ28" s="501"/>
      <c r="APR28" s="501"/>
      <c r="APS28" s="501"/>
      <c r="APT28" s="501"/>
      <c r="APU28" s="501"/>
      <c r="APV28" s="501"/>
      <c r="APW28" s="501"/>
      <c r="APX28" s="501"/>
      <c r="APY28" s="501"/>
      <c r="APZ28" s="501"/>
      <c r="AQA28" s="501"/>
      <c r="AQB28" s="501"/>
      <c r="AQC28" s="501"/>
      <c r="AQD28" s="501"/>
      <c r="AQE28" s="501"/>
      <c r="AQF28" s="501"/>
      <c r="AQG28" s="501"/>
      <c r="AQH28" s="501"/>
      <c r="AQI28" s="501"/>
      <c r="AQJ28" s="501"/>
      <c r="AQK28" s="501"/>
      <c r="AQL28" s="501"/>
      <c r="AQM28" s="501"/>
      <c r="AQN28" s="501"/>
      <c r="AQO28" s="501"/>
      <c r="AQP28" s="501"/>
      <c r="AQQ28" s="501"/>
      <c r="AQR28" s="501"/>
      <c r="AQS28" s="501"/>
      <c r="AQT28" s="501"/>
      <c r="AQU28" s="501"/>
      <c r="AQV28" s="501"/>
      <c r="AQW28" s="501"/>
      <c r="AQX28" s="501"/>
      <c r="AQY28" s="501"/>
      <c r="AQZ28" s="501"/>
      <c r="ARA28" s="501"/>
      <c r="ARB28" s="501"/>
      <c r="ARC28" s="501"/>
      <c r="ARD28" s="501"/>
      <c r="ARE28" s="501"/>
      <c r="ARF28" s="501"/>
      <c r="ARG28" s="501"/>
      <c r="ARH28" s="501"/>
      <c r="ARI28" s="501"/>
      <c r="ARJ28" s="501"/>
      <c r="ARK28" s="501"/>
      <c r="ARL28" s="501"/>
      <c r="ARM28" s="501"/>
      <c r="ARN28" s="501"/>
      <c r="ARO28" s="501"/>
      <c r="ARP28" s="501"/>
      <c r="ARQ28" s="501"/>
      <c r="ARR28" s="501"/>
      <c r="ARS28" s="501"/>
      <c r="ART28" s="501"/>
      <c r="ARU28" s="501"/>
      <c r="ARV28" s="501"/>
      <c r="ARW28" s="501"/>
      <c r="ARX28" s="501"/>
      <c r="ARY28" s="501"/>
      <c r="ARZ28" s="501"/>
      <c r="ASA28" s="501"/>
      <c r="ASB28" s="501"/>
      <c r="ASC28" s="501"/>
      <c r="ASD28" s="501"/>
      <c r="ASE28" s="501"/>
      <c r="ASF28" s="501"/>
      <c r="ASG28" s="501"/>
      <c r="ASH28" s="501"/>
      <c r="ASI28" s="501"/>
      <c r="ASJ28" s="501"/>
      <c r="ASK28" s="501"/>
      <c r="ASL28" s="501"/>
      <c r="ASM28" s="501"/>
      <c r="ASN28" s="501"/>
      <c r="ASO28" s="501"/>
      <c r="ASP28" s="501"/>
      <c r="ASQ28" s="501"/>
      <c r="ASR28" s="501"/>
      <c r="ASS28" s="501"/>
      <c r="AST28" s="501"/>
      <c r="ASU28" s="501"/>
      <c r="ASV28" s="501"/>
      <c r="ASW28" s="501"/>
      <c r="ASX28" s="501"/>
      <c r="ASY28" s="501"/>
      <c r="ASZ28" s="501"/>
      <c r="ATA28" s="501"/>
      <c r="ATB28" s="501"/>
      <c r="ATC28" s="501"/>
      <c r="ATD28" s="501"/>
      <c r="ATE28" s="501"/>
      <c r="ATF28" s="501"/>
      <c r="ATG28" s="501"/>
      <c r="ATH28" s="501"/>
      <c r="ATI28" s="501"/>
      <c r="ATJ28" s="501"/>
      <c r="ATK28" s="501"/>
      <c r="ATL28" s="501"/>
      <c r="ATM28" s="501"/>
      <c r="ATN28" s="501"/>
      <c r="ATO28" s="501"/>
      <c r="ATP28" s="501"/>
      <c r="ATQ28" s="501"/>
      <c r="ATR28" s="501"/>
      <c r="ATS28" s="501"/>
      <c r="ATT28" s="501"/>
      <c r="ATU28" s="501"/>
      <c r="ATV28" s="501"/>
      <c r="ATW28" s="501"/>
      <c r="ATX28" s="501"/>
      <c r="ATY28" s="501"/>
      <c r="ATZ28" s="501"/>
      <c r="AUA28" s="501"/>
      <c r="AUB28" s="501"/>
      <c r="AUC28" s="501"/>
      <c r="AUD28" s="501"/>
      <c r="AUE28" s="501"/>
      <c r="AUF28" s="501"/>
      <c r="AUG28" s="501"/>
      <c r="AUH28" s="501"/>
      <c r="AUI28" s="501"/>
      <c r="AUJ28" s="501"/>
      <c r="AUK28" s="501"/>
      <c r="AUL28" s="501"/>
      <c r="AUM28" s="501"/>
      <c r="AUN28" s="501"/>
      <c r="AUO28" s="501"/>
      <c r="AUP28" s="501"/>
      <c r="AUQ28" s="501"/>
      <c r="AUR28" s="501"/>
      <c r="AUS28" s="501"/>
      <c r="AUT28" s="501"/>
      <c r="AUU28" s="501"/>
      <c r="AUV28" s="501"/>
      <c r="AUW28" s="501"/>
      <c r="AUX28" s="501"/>
      <c r="AUY28" s="501"/>
      <c r="AUZ28" s="501"/>
      <c r="AVA28" s="501"/>
      <c r="AVB28" s="501"/>
      <c r="AVC28" s="501"/>
      <c r="AVD28" s="501"/>
      <c r="AVE28" s="501"/>
      <c r="AVF28" s="501"/>
      <c r="AVG28" s="501"/>
      <c r="AVH28" s="501"/>
      <c r="AVI28" s="501"/>
      <c r="AVJ28" s="501"/>
      <c r="AVK28" s="501"/>
      <c r="AVL28" s="501"/>
      <c r="AVM28" s="501"/>
      <c r="AVN28" s="501"/>
      <c r="AVO28" s="501"/>
      <c r="AVP28" s="501"/>
      <c r="AVQ28" s="501"/>
      <c r="AVR28" s="501"/>
      <c r="AVS28" s="501"/>
      <c r="AVT28" s="501"/>
      <c r="AVU28" s="501"/>
      <c r="AVV28" s="501"/>
      <c r="AVW28" s="501"/>
      <c r="AVX28" s="501"/>
      <c r="AVY28" s="501"/>
      <c r="AVZ28" s="501"/>
      <c r="AWA28" s="501"/>
      <c r="AWB28" s="501"/>
      <c r="AWC28" s="501"/>
      <c r="AWD28" s="501"/>
      <c r="AWE28" s="501"/>
      <c r="AWF28" s="501"/>
      <c r="AWG28" s="501"/>
      <c r="AWH28" s="501"/>
      <c r="AWI28" s="501"/>
      <c r="AWJ28" s="501"/>
      <c r="AWK28" s="501"/>
      <c r="AWL28" s="501"/>
      <c r="AWM28" s="501"/>
      <c r="AWN28" s="501"/>
      <c r="AWO28" s="501"/>
      <c r="AWP28" s="501"/>
      <c r="AWQ28" s="501"/>
      <c r="AWR28" s="501"/>
      <c r="AWS28" s="501"/>
      <c r="AWT28" s="501"/>
      <c r="AWU28" s="501"/>
      <c r="AWV28" s="501"/>
      <c r="AWW28" s="501"/>
      <c r="AWX28" s="501"/>
      <c r="AWY28" s="501"/>
      <c r="AWZ28" s="501"/>
      <c r="AXA28" s="501"/>
      <c r="AXB28" s="501"/>
      <c r="AXC28" s="501"/>
      <c r="AXD28" s="501"/>
      <c r="AXE28" s="501"/>
      <c r="AXF28" s="501"/>
      <c r="AXG28" s="501"/>
      <c r="AXH28" s="501"/>
      <c r="AXI28" s="501"/>
      <c r="AXJ28" s="501"/>
      <c r="AXK28" s="501"/>
      <c r="AXL28" s="501"/>
      <c r="AXM28" s="501"/>
      <c r="AXN28" s="501"/>
      <c r="AXO28" s="501"/>
      <c r="AXP28" s="501"/>
      <c r="AXQ28" s="501"/>
      <c r="AXR28" s="501"/>
      <c r="AXS28" s="501"/>
      <c r="AXT28" s="501"/>
      <c r="AXU28" s="501"/>
      <c r="AXV28" s="501"/>
      <c r="AXW28" s="501"/>
      <c r="AXX28" s="501"/>
      <c r="AXY28" s="501"/>
      <c r="AXZ28" s="501"/>
      <c r="AYA28" s="501"/>
      <c r="AYB28" s="501"/>
      <c r="AYC28" s="501"/>
      <c r="AYD28" s="501"/>
      <c r="AYE28" s="501"/>
      <c r="AYF28" s="501"/>
      <c r="AYG28" s="501"/>
      <c r="AYH28" s="501"/>
      <c r="AYI28" s="501"/>
      <c r="AYJ28" s="501"/>
      <c r="AYK28" s="501"/>
      <c r="AYL28" s="501"/>
      <c r="AYM28" s="501"/>
      <c r="AYN28" s="501"/>
      <c r="AYO28" s="501"/>
      <c r="AYP28" s="501"/>
      <c r="AYQ28" s="501"/>
      <c r="AYR28" s="501"/>
      <c r="AYS28" s="501"/>
      <c r="AYT28" s="501"/>
      <c r="AYU28" s="501"/>
      <c r="AYV28" s="501"/>
      <c r="AYW28" s="501"/>
      <c r="AYX28" s="501"/>
      <c r="AYY28" s="501"/>
      <c r="AYZ28" s="501"/>
      <c r="AZA28" s="501"/>
      <c r="AZB28" s="501"/>
      <c r="AZC28" s="501"/>
      <c r="AZD28" s="501"/>
      <c r="AZE28" s="501"/>
      <c r="AZF28" s="501"/>
      <c r="AZG28" s="501"/>
      <c r="AZH28" s="501"/>
      <c r="AZI28" s="501"/>
      <c r="AZJ28" s="501"/>
      <c r="AZK28" s="501"/>
      <c r="AZL28" s="501"/>
      <c r="AZM28" s="501"/>
      <c r="AZN28" s="501"/>
      <c r="AZO28" s="501"/>
      <c r="AZP28" s="501"/>
      <c r="AZQ28" s="501"/>
      <c r="AZR28" s="501"/>
      <c r="AZS28" s="501"/>
      <c r="AZT28" s="501"/>
      <c r="AZU28" s="501"/>
      <c r="AZV28" s="501"/>
      <c r="AZW28" s="501"/>
      <c r="AZX28" s="501"/>
      <c r="AZY28" s="501"/>
      <c r="AZZ28" s="501"/>
      <c r="BAA28" s="501"/>
      <c r="BAB28" s="501"/>
      <c r="BAC28" s="501"/>
      <c r="BAD28" s="501"/>
      <c r="BAE28" s="501"/>
      <c r="BAF28" s="501"/>
      <c r="BAG28" s="501"/>
      <c r="BAH28" s="501"/>
      <c r="BAI28" s="501"/>
      <c r="BAJ28" s="501"/>
      <c r="BAK28" s="501"/>
      <c r="BAL28" s="501"/>
      <c r="BAM28" s="501"/>
      <c r="BAN28" s="501"/>
      <c r="BAO28" s="501"/>
      <c r="BAP28" s="501"/>
      <c r="BAQ28" s="501"/>
      <c r="BAR28" s="501"/>
      <c r="BAS28" s="501"/>
      <c r="BAT28" s="501"/>
      <c r="BAU28" s="501"/>
      <c r="BAV28" s="501"/>
      <c r="BAW28" s="501"/>
      <c r="BAX28" s="501"/>
      <c r="BAY28" s="501"/>
      <c r="BAZ28" s="501"/>
      <c r="BBA28" s="501"/>
      <c r="BBB28" s="501"/>
      <c r="BBC28" s="501"/>
      <c r="BBD28" s="501"/>
      <c r="BBE28" s="501"/>
      <c r="BBF28" s="501"/>
      <c r="BBG28" s="501"/>
      <c r="BBH28" s="501"/>
      <c r="BBI28" s="501"/>
      <c r="BBJ28" s="501"/>
      <c r="BBK28" s="501"/>
      <c r="BBL28" s="501"/>
      <c r="BBM28" s="501"/>
      <c r="BBN28" s="501"/>
      <c r="BBO28" s="501"/>
      <c r="BBP28" s="501"/>
      <c r="BBQ28" s="501"/>
      <c r="BBR28" s="501"/>
      <c r="BBS28" s="501"/>
      <c r="BBT28" s="501"/>
      <c r="BBU28" s="501"/>
      <c r="BBV28" s="501"/>
      <c r="BBW28" s="501"/>
      <c r="BBX28" s="501"/>
      <c r="BBY28" s="501"/>
      <c r="BBZ28" s="501"/>
      <c r="BCA28" s="501"/>
      <c r="BCB28" s="501"/>
      <c r="BCC28" s="501"/>
      <c r="BCD28" s="501"/>
      <c r="BCE28" s="501"/>
      <c r="BCF28" s="501"/>
      <c r="BCG28" s="501"/>
      <c r="BCH28" s="501"/>
      <c r="BCI28" s="501"/>
      <c r="BCJ28" s="501"/>
      <c r="BCK28" s="501"/>
      <c r="BCL28" s="501"/>
      <c r="BCM28" s="501"/>
      <c r="BCN28" s="501"/>
      <c r="BCO28" s="501"/>
      <c r="BCP28" s="501"/>
      <c r="BCQ28" s="501"/>
      <c r="BCR28" s="501"/>
      <c r="BCS28" s="501"/>
      <c r="BCT28" s="501"/>
      <c r="BCU28" s="501"/>
      <c r="BCV28" s="501"/>
      <c r="BCW28" s="501"/>
      <c r="BCX28" s="501"/>
      <c r="BCY28" s="501"/>
      <c r="BCZ28" s="501"/>
      <c r="BDA28" s="501"/>
      <c r="BDB28" s="501"/>
      <c r="BDC28" s="501"/>
      <c r="BDD28" s="501"/>
      <c r="BDE28" s="501"/>
      <c r="BDF28" s="501"/>
      <c r="BDG28" s="501"/>
      <c r="BDH28" s="501"/>
      <c r="BDI28" s="501"/>
      <c r="BDJ28" s="501"/>
      <c r="BDK28" s="501"/>
      <c r="BDL28" s="501"/>
      <c r="BDM28" s="501"/>
      <c r="BDN28" s="501"/>
      <c r="BDO28" s="501"/>
      <c r="BDP28" s="501"/>
      <c r="BDQ28" s="501"/>
      <c r="BDR28" s="501"/>
      <c r="BDS28" s="501"/>
      <c r="BDT28" s="501"/>
      <c r="BDU28" s="501"/>
      <c r="BDV28" s="501"/>
      <c r="BDW28" s="501"/>
      <c r="BDX28" s="501"/>
      <c r="BDY28" s="501"/>
      <c r="BDZ28" s="501"/>
      <c r="BEA28" s="501"/>
      <c r="BEB28" s="501"/>
      <c r="BEC28" s="501"/>
      <c r="BED28" s="501"/>
      <c r="BEE28" s="501"/>
      <c r="BEF28" s="501"/>
      <c r="BEG28" s="501"/>
      <c r="BEH28" s="501"/>
      <c r="BEI28" s="501"/>
      <c r="BEJ28" s="501"/>
      <c r="BEK28" s="501"/>
      <c r="BEL28" s="501"/>
      <c r="BEM28" s="501"/>
      <c r="BEN28" s="501"/>
      <c r="BEO28" s="501"/>
      <c r="BEP28" s="501"/>
      <c r="BEQ28" s="501"/>
      <c r="BER28" s="501"/>
      <c r="BES28" s="501"/>
      <c r="BET28" s="501"/>
      <c r="BEU28" s="501"/>
      <c r="BEV28" s="501"/>
      <c r="BEW28" s="501"/>
      <c r="BEX28" s="501"/>
      <c r="BEY28" s="501"/>
      <c r="BEZ28" s="501"/>
      <c r="BFA28" s="501"/>
      <c r="BFB28" s="501"/>
      <c r="BFC28" s="501"/>
      <c r="BFD28" s="501"/>
      <c r="BFE28" s="501"/>
      <c r="BFF28" s="501"/>
      <c r="BFG28" s="501"/>
      <c r="BFH28" s="501"/>
      <c r="BFI28" s="501"/>
      <c r="BFJ28" s="501"/>
      <c r="BFK28" s="501"/>
      <c r="BFL28" s="501"/>
      <c r="BFM28" s="501"/>
      <c r="BFN28" s="501"/>
      <c r="BFO28" s="501"/>
      <c r="BFP28" s="501"/>
      <c r="BFQ28" s="501"/>
      <c r="BFR28" s="501"/>
      <c r="BFS28" s="501"/>
      <c r="BFT28" s="501"/>
      <c r="BFU28" s="501"/>
      <c r="BFV28" s="501"/>
      <c r="BFW28" s="501"/>
      <c r="BFX28" s="501"/>
      <c r="BFY28" s="501"/>
      <c r="BFZ28" s="501"/>
      <c r="BGA28" s="501"/>
      <c r="BGB28" s="501"/>
      <c r="BGC28" s="501"/>
      <c r="BGD28" s="501"/>
      <c r="BGE28" s="501"/>
      <c r="BGF28" s="501"/>
      <c r="BGG28" s="501"/>
      <c r="BGH28" s="501"/>
      <c r="BGI28" s="501"/>
      <c r="BGJ28" s="501"/>
      <c r="BGK28" s="501"/>
      <c r="BGL28" s="501"/>
      <c r="BGM28" s="501"/>
      <c r="BGN28" s="501"/>
      <c r="BGO28" s="501"/>
      <c r="BGP28" s="501"/>
      <c r="BGQ28" s="501"/>
      <c r="BGR28" s="501"/>
      <c r="BGS28" s="501"/>
      <c r="BGT28" s="501"/>
      <c r="BGU28" s="501"/>
      <c r="BGV28" s="501"/>
      <c r="BGW28" s="501"/>
      <c r="BGX28" s="501"/>
      <c r="BGY28" s="501"/>
      <c r="BGZ28" s="501"/>
      <c r="BHA28" s="501"/>
      <c r="BHB28" s="501"/>
      <c r="BHC28" s="501"/>
      <c r="BHD28" s="501"/>
      <c r="BHE28" s="501"/>
      <c r="BHF28" s="501"/>
      <c r="BHG28" s="501"/>
      <c r="BHH28" s="501"/>
      <c r="BHI28" s="501"/>
      <c r="BHJ28" s="501"/>
      <c r="BHK28" s="501"/>
      <c r="BHL28" s="501"/>
      <c r="BHM28" s="501"/>
      <c r="BHN28" s="501"/>
      <c r="BHO28" s="501"/>
      <c r="BHP28" s="501"/>
      <c r="BHQ28" s="501"/>
      <c r="BHR28" s="501"/>
      <c r="BHS28" s="501"/>
      <c r="BHT28" s="501"/>
      <c r="BHU28" s="501"/>
      <c r="BHV28" s="501"/>
      <c r="BHW28" s="501"/>
      <c r="BHX28" s="501"/>
      <c r="BHY28" s="501"/>
      <c r="BHZ28" s="501"/>
      <c r="BIA28" s="501"/>
      <c r="BIB28" s="501"/>
      <c r="BIC28" s="501"/>
      <c r="BID28" s="501"/>
      <c r="BIE28" s="501"/>
      <c r="BIF28" s="501"/>
      <c r="BIG28" s="501"/>
      <c r="BIH28" s="501"/>
      <c r="BII28" s="501"/>
      <c r="BIJ28" s="501"/>
      <c r="BIK28" s="501"/>
      <c r="BIL28" s="501"/>
      <c r="BIM28" s="501"/>
      <c r="BIN28" s="501"/>
      <c r="BIO28" s="501"/>
      <c r="BIP28" s="501"/>
      <c r="BIQ28" s="501"/>
      <c r="BIR28" s="501"/>
      <c r="BIS28" s="501"/>
      <c r="BIT28" s="501"/>
      <c r="BIU28" s="501"/>
      <c r="BIV28" s="501"/>
      <c r="BIW28" s="501"/>
      <c r="BIX28" s="501"/>
      <c r="BIY28" s="501"/>
      <c r="BIZ28" s="501"/>
      <c r="BJA28" s="501"/>
      <c r="BJB28" s="501"/>
      <c r="BJC28" s="501"/>
      <c r="BJD28" s="501"/>
      <c r="BJE28" s="501"/>
      <c r="BJF28" s="501"/>
      <c r="BJG28" s="501"/>
      <c r="BJH28" s="501"/>
      <c r="BJI28" s="501"/>
      <c r="BJJ28" s="501"/>
      <c r="BJK28" s="501"/>
      <c r="BJL28" s="501"/>
      <c r="BJM28" s="501"/>
      <c r="BJN28" s="501"/>
      <c r="BJO28" s="501"/>
      <c r="BJP28" s="501"/>
      <c r="BJQ28" s="501"/>
      <c r="BJR28" s="501"/>
      <c r="BJS28" s="501"/>
      <c r="BJT28" s="501"/>
      <c r="BJU28" s="501"/>
      <c r="BJV28" s="501"/>
      <c r="BJW28" s="501"/>
      <c r="BJX28" s="501"/>
      <c r="BJY28" s="501"/>
      <c r="BJZ28" s="501"/>
      <c r="BKA28" s="501"/>
      <c r="BKB28" s="501"/>
      <c r="BKC28" s="501"/>
      <c r="BKD28" s="501"/>
      <c r="BKE28" s="501"/>
      <c r="BKF28" s="501"/>
      <c r="BKG28" s="501"/>
      <c r="BKH28" s="501"/>
      <c r="BKI28" s="501"/>
      <c r="BKJ28" s="501"/>
      <c r="BKK28" s="501"/>
      <c r="BKL28" s="501"/>
      <c r="BKM28" s="501"/>
      <c r="BKN28" s="501"/>
      <c r="BKO28" s="501"/>
      <c r="BKP28" s="501"/>
      <c r="BKQ28" s="501"/>
      <c r="BKR28" s="501"/>
      <c r="BKS28" s="501"/>
      <c r="BKT28" s="501"/>
      <c r="BKU28" s="501"/>
      <c r="BKV28" s="501"/>
      <c r="BKW28" s="501"/>
      <c r="BKX28" s="501"/>
      <c r="BKY28" s="501"/>
      <c r="BKZ28" s="501"/>
      <c r="BLA28" s="501"/>
      <c r="BLB28" s="501"/>
      <c r="BLC28" s="501"/>
      <c r="BLD28" s="501"/>
      <c r="BLE28" s="501"/>
      <c r="BLF28" s="501"/>
      <c r="BLG28" s="501"/>
      <c r="BLH28" s="501"/>
      <c r="BLI28" s="501"/>
      <c r="BLJ28" s="501"/>
      <c r="BLK28" s="501"/>
      <c r="BLL28" s="501"/>
      <c r="BLM28" s="501"/>
      <c r="BLN28" s="501"/>
      <c r="BLO28" s="501"/>
      <c r="BLP28" s="501"/>
      <c r="BLQ28" s="501"/>
      <c r="BLR28" s="501"/>
      <c r="BLS28" s="501"/>
      <c r="BLT28" s="501"/>
      <c r="BLU28" s="501"/>
      <c r="BLV28" s="501"/>
      <c r="BLW28" s="501"/>
      <c r="BLX28" s="501"/>
      <c r="BLY28" s="501"/>
      <c r="BLZ28" s="501"/>
      <c r="BMA28" s="501"/>
      <c r="BMB28" s="501"/>
      <c r="BMC28" s="501"/>
      <c r="BMD28" s="501"/>
      <c r="BME28" s="501"/>
      <c r="BMF28" s="501"/>
      <c r="BMG28" s="501"/>
      <c r="BMH28" s="501"/>
      <c r="BMI28" s="501"/>
      <c r="BMJ28" s="501"/>
      <c r="BMK28" s="501"/>
      <c r="BML28" s="501"/>
      <c r="BMM28" s="501"/>
      <c r="BMN28" s="501"/>
      <c r="BMO28" s="501"/>
      <c r="BMP28" s="501"/>
      <c r="BMQ28" s="501"/>
      <c r="BMR28" s="501"/>
      <c r="BMS28" s="501"/>
      <c r="BMT28" s="501"/>
      <c r="BMU28" s="501"/>
      <c r="BMV28" s="501"/>
      <c r="BMW28" s="501"/>
      <c r="BMX28" s="501"/>
      <c r="BMY28" s="501"/>
      <c r="BMZ28" s="501"/>
      <c r="BNA28" s="501"/>
      <c r="BNB28" s="501"/>
      <c r="BNC28" s="501"/>
      <c r="BND28" s="501"/>
      <c r="BNE28" s="501"/>
      <c r="BNF28" s="501"/>
      <c r="BNG28" s="501"/>
      <c r="BNH28" s="501"/>
      <c r="BNI28" s="501"/>
      <c r="BNJ28" s="501"/>
      <c r="BNK28" s="501"/>
      <c r="BNL28" s="501"/>
      <c r="BNM28" s="501"/>
      <c r="BNN28" s="501"/>
      <c r="BNO28" s="501"/>
      <c r="BNP28" s="501"/>
      <c r="BNQ28" s="501"/>
      <c r="BNR28" s="501"/>
      <c r="BNS28" s="501"/>
      <c r="BNT28" s="501"/>
      <c r="BNU28" s="501"/>
      <c r="BNV28" s="501"/>
      <c r="BNW28" s="501"/>
      <c r="BNX28" s="501"/>
      <c r="BNY28" s="501"/>
      <c r="BNZ28" s="501"/>
      <c r="BOA28" s="501"/>
      <c r="BOB28" s="501"/>
      <c r="BOC28" s="501"/>
      <c r="BOD28" s="501"/>
      <c r="BOE28" s="501"/>
      <c r="BOF28" s="501"/>
      <c r="BOG28" s="501"/>
      <c r="BOH28" s="501"/>
      <c r="BOI28" s="501"/>
      <c r="BOJ28" s="501"/>
      <c r="BOK28" s="501"/>
      <c r="BOL28" s="501"/>
      <c r="BOM28" s="501"/>
      <c r="BON28" s="501"/>
      <c r="BOO28" s="501"/>
      <c r="BOP28" s="501"/>
      <c r="BOQ28" s="501"/>
      <c r="BOR28" s="501"/>
      <c r="BOS28" s="501"/>
      <c r="BOT28" s="501"/>
      <c r="BOU28" s="501"/>
      <c r="BOV28" s="501"/>
      <c r="BOW28" s="501"/>
      <c r="BOX28" s="501"/>
      <c r="BOY28" s="501"/>
      <c r="BOZ28" s="501"/>
      <c r="BPA28" s="501"/>
      <c r="BPB28" s="501"/>
      <c r="BPC28" s="501"/>
      <c r="BPD28" s="501"/>
      <c r="BPE28" s="501"/>
      <c r="BPF28" s="501"/>
      <c r="BPG28" s="501"/>
      <c r="BPH28" s="501"/>
      <c r="BPI28" s="501"/>
      <c r="BPJ28" s="501"/>
      <c r="BPK28" s="501"/>
      <c r="BPL28" s="501"/>
      <c r="BPM28" s="501"/>
      <c r="BPN28" s="501"/>
      <c r="BPO28" s="501"/>
      <c r="BPP28" s="501"/>
      <c r="BPQ28" s="501"/>
      <c r="BPR28" s="501"/>
      <c r="BPS28" s="501"/>
      <c r="BPT28" s="501"/>
      <c r="BPU28" s="501"/>
      <c r="BPV28" s="501"/>
      <c r="BPW28" s="501"/>
      <c r="BPX28" s="501"/>
      <c r="BPY28" s="501"/>
      <c r="BPZ28" s="501"/>
      <c r="BQA28" s="501"/>
      <c r="BQB28" s="501"/>
      <c r="BQC28" s="501"/>
      <c r="BQD28" s="501"/>
      <c r="BQE28" s="501"/>
      <c r="BQF28" s="501"/>
      <c r="BQG28" s="501"/>
      <c r="BQH28" s="501"/>
      <c r="BQI28" s="501"/>
      <c r="BQJ28" s="501"/>
      <c r="BQK28" s="501"/>
      <c r="BQL28" s="501"/>
      <c r="BQM28" s="501"/>
      <c r="BQN28" s="501"/>
      <c r="BQO28" s="501"/>
      <c r="BQP28" s="501"/>
      <c r="BQQ28" s="501"/>
      <c r="BQR28" s="501"/>
      <c r="BQS28" s="501"/>
      <c r="BQT28" s="501"/>
      <c r="BQU28" s="501"/>
      <c r="BQV28" s="501"/>
      <c r="BQW28" s="501"/>
      <c r="BQX28" s="501"/>
      <c r="BQY28" s="501"/>
      <c r="BQZ28" s="501"/>
      <c r="BRA28" s="501"/>
      <c r="BRB28" s="501"/>
      <c r="BRC28" s="501"/>
      <c r="BRD28" s="501"/>
      <c r="BRE28" s="501"/>
      <c r="BRF28" s="501"/>
      <c r="BRG28" s="501"/>
      <c r="BRH28" s="501"/>
      <c r="BRI28" s="501"/>
      <c r="BRJ28" s="501"/>
      <c r="BRK28" s="501"/>
      <c r="BRL28" s="501"/>
      <c r="BRM28" s="501"/>
      <c r="BRN28" s="501"/>
      <c r="BRO28" s="501"/>
      <c r="BRP28" s="501"/>
      <c r="BRQ28" s="501"/>
      <c r="BRR28" s="501"/>
      <c r="BRS28" s="501"/>
      <c r="BRT28" s="501"/>
      <c r="BRU28" s="501"/>
      <c r="BRV28" s="501"/>
      <c r="BRW28" s="501"/>
      <c r="BRX28" s="501"/>
      <c r="BRY28" s="501"/>
      <c r="BRZ28" s="501"/>
      <c r="BSA28" s="501"/>
      <c r="BSB28" s="501"/>
      <c r="BSC28" s="501"/>
    </row>
    <row r="29" spans="1:1849" s="502" customFormat="1" ht="15" x14ac:dyDescent="0.2">
      <c r="A29" s="503">
        <v>28</v>
      </c>
      <c r="B29" s="504" t="s">
        <v>25</v>
      </c>
      <c r="C29" s="548" t="s">
        <v>456</v>
      </c>
      <c r="D29" s="504" t="s">
        <v>26</v>
      </c>
      <c r="E29" s="504" t="s">
        <v>27</v>
      </c>
      <c r="F29" s="504">
        <v>40</v>
      </c>
      <c r="G29" s="504">
        <v>20</v>
      </c>
      <c r="H29" s="504">
        <v>40</v>
      </c>
      <c r="I29" s="504">
        <v>20</v>
      </c>
      <c r="J29" s="504">
        <v>1</v>
      </c>
      <c r="K29" s="504">
        <f t="shared" si="1"/>
        <v>800</v>
      </c>
      <c r="L29" s="504" t="s">
        <v>37</v>
      </c>
      <c r="M29" s="509" t="s">
        <v>310</v>
      </c>
      <c r="N29" s="505">
        <v>21.201684</v>
      </c>
      <c r="O29" s="505">
        <v>79.077350999999993</v>
      </c>
      <c r="P29" s="506">
        <v>40000</v>
      </c>
      <c r="Q29" s="505">
        <v>50000</v>
      </c>
      <c r="R29" s="505">
        <v>90000</v>
      </c>
      <c r="S29" s="501"/>
      <c r="T29" s="501"/>
      <c r="U29" s="501"/>
      <c r="V29" s="501"/>
      <c r="W29" s="501"/>
      <c r="X29" s="501"/>
      <c r="Y29" s="501"/>
      <c r="Z29" s="501"/>
      <c r="AA29" s="501"/>
      <c r="AB29" s="501"/>
      <c r="AC29" s="501"/>
      <c r="AD29" s="501"/>
      <c r="AE29" s="501"/>
      <c r="AF29" s="501"/>
      <c r="AG29" s="501"/>
      <c r="AH29" s="501"/>
      <c r="AI29" s="501"/>
      <c r="AJ29" s="501"/>
      <c r="AK29" s="501"/>
      <c r="AL29" s="501"/>
      <c r="AM29" s="501"/>
      <c r="AN29" s="501"/>
      <c r="AO29" s="501"/>
      <c r="AP29" s="501"/>
      <c r="AQ29" s="501"/>
      <c r="AR29" s="501"/>
      <c r="AS29" s="501"/>
      <c r="AT29" s="501"/>
      <c r="AU29" s="501"/>
      <c r="AV29" s="501"/>
      <c r="AW29" s="501"/>
      <c r="AX29" s="501"/>
      <c r="AY29" s="501"/>
      <c r="AZ29" s="501"/>
      <c r="BA29" s="501"/>
      <c r="BB29" s="501"/>
      <c r="BC29" s="501"/>
      <c r="BD29" s="501"/>
      <c r="BE29" s="501"/>
      <c r="BF29" s="501"/>
      <c r="BG29" s="501"/>
      <c r="BH29" s="501"/>
      <c r="BI29" s="501"/>
      <c r="BJ29" s="501"/>
      <c r="BK29" s="501"/>
      <c r="BL29" s="501"/>
      <c r="BM29" s="501"/>
      <c r="BN29" s="501"/>
      <c r="BO29" s="501"/>
      <c r="BP29" s="501"/>
      <c r="BQ29" s="501"/>
      <c r="BR29" s="501"/>
      <c r="BS29" s="501"/>
      <c r="BT29" s="501"/>
      <c r="BU29" s="501"/>
      <c r="BV29" s="501"/>
      <c r="BW29" s="501"/>
      <c r="BX29" s="501"/>
      <c r="BY29" s="501"/>
      <c r="BZ29" s="501"/>
      <c r="CA29" s="501"/>
      <c r="CB29" s="501"/>
      <c r="CC29" s="501"/>
      <c r="CD29" s="501"/>
      <c r="CE29" s="501"/>
      <c r="CF29" s="501"/>
      <c r="CG29" s="501"/>
      <c r="CH29" s="501"/>
      <c r="CI29" s="501"/>
      <c r="CJ29" s="501"/>
      <c r="CK29" s="501"/>
      <c r="CL29" s="501"/>
      <c r="CM29" s="501"/>
      <c r="CN29" s="501"/>
      <c r="CO29" s="501"/>
      <c r="CP29" s="501"/>
      <c r="CQ29" s="501"/>
      <c r="CR29" s="501"/>
      <c r="CS29" s="501"/>
      <c r="CT29" s="501"/>
      <c r="CU29" s="501"/>
      <c r="CV29" s="501"/>
      <c r="CW29" s="501"/>
      <c r="CX29" s="501"/>
      <c r="CY29" s="501"/>
      <c r="CZ29" s="501"/>
      <c r="DA29" s="501"/>
      <c r="DB29" s="501"/>
      <c r="DC29" s="501"/>
      <c r="DD29" s="501"/>
      <c r="DE29" s="501"/>
      <c r="DF29" s="501"/>
      <c r="DG29" s="501"/>
      <c r="DH29" s="501"/>
      <c r="DI29" s="501"/>
      <c r="DJ29" s="501"/>
      <c r="DK29" s="501"/>
      <c r="DL29" s="501"/>
      <c r="DM29" s="501"/>
      <c r="DN29" s="501"/>
      <c r="DO29" s="501"/>
      <c r="DP29" s="501"/>
      <c r="DQ29" s="501"/>
      <c r="DR29" s="501"/>
      <c r="DS29" s="501"/>
      <c r="DT29" s="501"/>
      <c r="DU29" s="501"/>
      <c r="DV29" s="501"/>
      <c r="DW29" s="501"/>
      <c r="DX29" s="501"/>
      <c r="DY29" s="501"/>
      <c r="DZ29" s="501"/>
      <c r="EA29" s="501"/>
      <c r="EB29" s="501"/>
      <c r="EC29" s="501"/>
      <c r="ED29" s="501"/>
      <c r="EE29" s="501"/>
      <c r="EF29" s="501"/>
      <c r="EG29" s="501"/>
      <c r="EH29" s="501"/>
      <c r="EI29" s="501"/>
      <c r="EJ29" s="501"/>
      <c r="EK29" s="501"/>
      <c r="EL29" s="501"/>
      <c r="EM29" s="501"/>
      <c r="EN29" s="501"/>
      <c r="EO29" s="501"/>
      <c r="EP29" s="501"/>
      <c r="EQ29" s="501"/>
      <c r="ER29" s="501"/>
      <c r="ES29" s="501"/>
      <c r="ET29" s="501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E29" s="501"/>
      <c r="FF29" s="501"/>
      <c r="FG29" s="501"/>
      <c r="FH29" s="501"/>
      <c r="FI29" s="501"/>
      <c r="FJ29" s="501"/>
      <c r="FK29" s="501"/>
      <c r="FL29" s="501"/>
      <c r="FM29" s="501"/>
      <c r="FN29" s="501"/>
      <c r="FO29" s="501"/>
      <c r="FP29" s="501"/>
      <c r="FQ29" s="501"/>
      <c r="FR29" s="501"/>
      <c r="FS29" s="501"/>
      <c r="FT29" s="501"/>
      <c r="FU29" s="501"/>
      <c r="FV29" s="501"/>
      <c r="FW29" s="501"/>
      <c r="FX29" s="501"/>
      <c r="FY29" s="501"/>
      <c r="FZ29" s="501"/>
      <c r="GA29" s="501"/>
      <c r="GB29" s="501"/>
      <c r="GC29" s="501"/>
      <c r="GD29" s="501"/>
      <c r="GE29" s="501"/>
      <c r="GF29" s="501"/>
      <c r="GG29" s="501"/>
      <c r="GH29" s="501"/>
      <c r="GI29" s="501"/>
      <c r="GJ29" s="501"/>
      <c r="GK29" s="501"/>
      <c r="GL29" s="501"/>
      <c r="GM29" s="501"/>
      <c r="GN29" s="501"/>
      <c r="GO29" s="501"/>
      <c r="GP29" s="501"/>
      <c r="GQ29" s="501"/>
      <c r="GR29" s="501"/>
      <c r="GS29" s="501"/>
      <c r="GT29" s="501"/>
      <c r="GU29" s="501"/>
      <c r="GV29" s="501"/>
      <c r="GW29" s="501"/>
      <c r="GX29" s="501"/>
      <c r="GY29" s="501"/>
      <c r="GZ29" s="501"/>
      <c r="HA29" s="501"/>
      <c r="HB29" s="501"/>
      <c r="HC29" s="501"/>
      <c r="HD29" s="501"/>
      <c r="HE29" s="501"/>
      <c r="HF29" s="501"/>
      <c r="HG29" s="501"/>
      <c r="HH29" s="501"/>
      <c r="HI29" s="501"/>
      <c r="HJ29" s="501"/>
      <c r="HK29" s="501"/>
      <c r="HL29" s="501"/>
      <c r="HM29" s="501"/>
      <c r="HN29" s="501"/>
      <c r="HO29" s="501"/>
      <c r="HP29" s="501"/>
      <c r="HQ29" s="501"/>
      <c r="HR29" s="501"/>
      <c r="HS29" s="501"/>
      <c r="HT29" s="501"/>
      <c r="HU29" s="501"/>
      <c r="HV29" s="501"/>
      <c r="HW29" s="501"/>
      <c r="HX29" s="501"/>
      <c r="HY29" s="501"/>
      <c r="HZ29" s="501"/>
      <c r="IA29" s="501"/>
      <c r="IB29" s="501"/>
      <c r="IC29" s="501"/>
      <c r="ID29" s="501"/>
      <c r="IE29" s="501"/>
      <c r="IF29" s="501"/>
      <c r="IG29" s="501"/>
      <c r="IH29" s="501"/>
      <c r="II29" s="501"/>
      <c r="IJ29" s="501"/>
      <c r="IK29" s="501"/>
      <c r="IL29" s="501"/>
      <c r="IM29" s="501"/>
      <c r="IN29" s="501"/>
      <c r="IO29" s="501"/>
      <c r="IP29" s="501"/>
      <c r="IQ29" s="501"/>
      <c r="IR29" s="501"/>
      <c r="IS29" s="501"/>
      <c r="IT29" s="501"/>
      <c r="IU29" s="501"/>
      <c r="IV29" s="501"/>
      <c r="IW29" s="501"/>
      <c r="IX29" s="501"/>
      <c r="IY29" s="501"/>
      <c r="IZ29" s="501"/>
      <c r="JA29" s="501"/>
      <c r="JB29" s="501"/>
      <c r="JC29" s="501"/>
      <c r="JD29" s="501"/>
      <c r="JE29" s="501"/>
      <c r="JF29" s="501"/>
      <c r="JG29" s="501"/>
      <c r="JH29" s="501"/>
      <c r="JI29" s="501"/>
      <c r="JJ29" s="501"/>
      <c r="JK29" s="501"/>
      <c r="JL29" s="501"/>
      <c r="JM29" s="501"/>
      <c r="JN29" s="501"/>
      <c r="JO29" s="501"/>
      <c r="JP29" s="501"/>
      <c r="JQ29" s="501"/>
      <c r="JR29" s="501"/>
      <c r="JS29" s="501"/>
      <c r="JT29" s="501"/>
      <c r="JU29" s="501"/>
      <c r="JV29" s="501"/>
      <c r="JW29" s="501"/>
      <c r="JX29" s="501"/>
      <c r="JY29" s="501"/>
      <c r="JZ29" s="501"/>
      <c r="KA29" s="501"/>
      <c r="KB29" s="501"/>
      <c r="KC29" s="501"/>
      <c r="KD29" s="501"/>
      <c r="KE29" s="501"/>
      <c r="KF29" s="501"/>
      <c r="KG29" s="501"/>
      <c r="KH29" s="501"/>
      <c r="KI29" s="501"/>
      <c r="KJ29" s="501"/>
      <c r="KK29" s="501"/>
      <c r="KL29" s="501"/>
      <c r="KM29" s="501"/>
      <c r="KN29" s="501"/>
      <c r="KO29" s="501"/>
      <c r="KP29" s="501"/>
      <c r="KQ29" s="501"/>
      <c r="KR29" s="501"/>
      <c r="KS29" s="501"/>
      <c r="KT29" s="501"/>
      <c r="KU29" s="501"/>
      <c r="KV29" s="501"/>
      <c r="KW29" s="501"/>
      <c r="KX29" s="501"/>
      <c r="KY29" s="501"/>
      <c r="KZ29" s="501"/>
      <c r="LA29" s="501"/>
      <c r="LB29" s="501"/>
      <c r="LC29" s="501"/>
      <c r="LD29" s="501"/>
      <c r="LE29" s="501"/>
      <c r="LF29" s="501"/>
      <c r="LG29" s="501"/>
      <c r="LH29" s="501"/>
      <c r="LI29" s="501"/>
      <c r="LJ29" s="501"/>
      <c r="LK29" s="501"/>
      <c r="LL29" s="501"/>
      <c r="LM29" s="501"/>
      <c r="LN29" s="501"/>
      <c r="LO29" s="501"/>
      <c r="LP29" s="501"/>
      <c r="LQ29" s="501"/>
      <c r="LR29" s="501"/>
      <c r="LS29" s="501"/>
      <c r="LT29" s="501"/>
      <c r="LU29" s="501"/>
      <c r="LV29" s="501"/>
      <c r="LW29" s="501"/>
      <c r="LX29" s="501"/>
      <c r="LY29" s="501"/>
      <c r="LZ29" s="501"/>
      <c r="MA29" s="501"/>
      <c r="MB29" s="501"/>
      <c r="MC29" s="501"/>
      <c r="MD29" s="501"/>
      <c r="ME29" s="501"/>
      <c r="MF29" s="501"/>
      <c r="MG29" s="501"/>
      <c r="MH29" s="501"/>
      <c r="MI29" s="501"/>
      <c r="MJ29" s="501"/>
      <c r="MK29" s="501"/>
      <c r="ML29" s="501"/>
      <c r="MM29" s="501"/>
      <c r="MN29" s="501"/>
      <c r="MO29" s="501"/>
      <c r="MP29" s="501"/>
      <c r="MQ29" s="501"/>
      <c r="MR29" s="501"/>
      <c r="MS29" s="501"/>
      <c r="MT29" s="501"/>
      <c r="MU29" s="501"/>
      <c r="MV29" s="501"/>
      <c r="MW29" s="501"/>
      <c r="MX29" s="501"/>
      <c r="MY29" s="501"/>
      <c r="MZ29" s="501"/>
      <c r="NA29" s="501"/>
      <c r="NB29" s="501"/>
      <c r="NC29" s="501"/>
      <c r="ND29" s="501"/>
      <c r="NE29" s="501"/>
      <c r="NF29" s="501"/>
      <c r="NG29" s="501"/>
      <c r="NH29" s="501"/>
      <c r="NI29" s="501"/>
      <c r="NJ29" s="501"/>
      <c r="NK29" s="501"/>
      <c r="NL29" s="501"/>
      <c r="NM29" s="501"/>
      <c r="NN29" s="501"/>
      <c r="NO29" s="501"/>
      <c r="NP29" s="501"/>
      <c r="NQ29" s="501"/>
      <c r="NR29" s="501"/>
      <c r="NS29" s="501"/>
      <c r="NT29" s="501"/>
      <c r="NU29" s="501"/>
      <c r="NV29" s="501"/>
      <c r="NW29" s="501"/>
      <c r="NX29" s="501"/>
      <c r="NY29" s="501"/>
      <c r="NZ29" s="501"/>
      <c r="OA29" s="501"/>
      <c r="OB29" s="501"/>
      <c r="OC29" s="501"/>
      <c r="OD29" s="501"/>
      <c r="OE29" s="501"/>
      <c r="OF29" s="501"/>
      <c r="OG29" s="501"/>
      <c r="OH29" s="501"/>
      <c r="OI29" s="501"/>
      <c r="OJ29" s="501"/>
      <c r="OK29" s="501"/>
      <c r="OL29" s="501"/>
      <c r="OM29" s="501"/>
      <c r="ON29" s="501"/>
      <c r="OO29" s="501"/>
      <c r="OP29" s="501"/>
      <c r="OQ29" s="501"/>
      <c r="OR29" s="501"/>
      <c r="OS29" s="501"/>
      <c r="OT29" s="501"/>
      <c r="OU29" s="501"/>
      <c r="OV29" s="501"/>
      <c r="OW29" s="501"/>
      <c r="OX29" s="501"/>
      <c r="OY29" s="501"/>
      <c r="OZ29" s="501"/>
      <c r="PA29" s="501"/>
      <c r="PB29" s="501"/>
      <c r="PC29" s="501"/>
      <c r="PD29" s="501"/>
      <c r="PE29" s="501"/>
      <c r="PF29" s="501"/>
      <c r="PG29" s="501"/>
      <c r="PH29" s="501"/>
      <c r="PI29" s="501"/>
      <c r="PJ29" s="501"/>
      <c r="PK29" s="501"/>
      <c r="PL29" s="501"/>
      <c r="PM29" s="501"/>
      <c r="PN29" s="501"/>
      <c r="PO29" s="501"/>
      <c r="PP29" s="501"/>
      <c r="PQ29" s="501"/>
      <c r="PR29" s="501"/>
      <c r="PS29" s="501"/>
      <c r="PT29" s="501"/>
      <c r="PU29" s="501"/>
      <c r="PV29" s="501"/>
      <c r="PW29" s="501"/>
      <c r="PX29" s="501"/>
      <c r="PY29" s="501"/>
      <c r="PZ29" s="501"/>
      <c r="QA29" s="501"/>
      <c r="QB29" s="501"/>
      <c r="QC29" s="501"/>
      <c r="QD29" s="501"/>
      <c r="QE29" s="501"/>
      <c r="QF29" s="501"/>
      <c r="QG29" s="501"/>
      <c r="QH29" s="501"/>
      <c r="QI29" s="501"/>
      <c r="QJ29" s="501"/>
      <c r="QK29" s="501"/>
      <c r="QL29" s="501"/>
      <c r="QM29" s="501"/>
      <c r="QN29" s="501"/>
      <c r="QO29" s="501"/>
      <c r="QP29" s="501"/>
      <c r="QQ29" s="501"/>
      <c r="QR29" s="501"/>
      <c r="QS29" s="501"/>
      <c r="QT29" s="501"/>
      <c r="QU29" s="501"/>
      <c r="QV29" s="501"/>
      <c r="QW29" s="501"/>
      <c r="QX29" s="501"/>
      <c r="QY29" s="501"/>
      <c r="QZ29" s="501"/>
      <c r="RA29" s="501"/>
      <c r="RB29" s="501"/>
      <c r="RC29" s="501"/>
      <c r="RD29" s="501"/>
      <c r="RE29" s="501"/>
      <c r="RF29" s="501"/>
      <c r="RG29" s="501"/>
      <c r="RH29" s="501"/>
      <c r="RI29" s="501"/>
      <c r="RJ29" s="501"/>
      <c r="RK29" s="501"/>
      <c r="RL29" s="501"/>
      <c r="RM29" s="501"/>
      <c r="RN29" s="501"/>
      <c r="RO29" s="501"/>
      <c r="RP29" s="501"/>
      <c r="RQ29" s="501"/>
      <c r="RR29" s="501"/>
      <c r="RS29" s="501"/>
      <c r="RT29" s="501"/>
      <c r="RU29" s="501"/>
      <c r="RV29" s="501"/>
      <c r="RW29" s="501"/>
      <c r="RX29" s="501"/>
      <c r="RY29" s="501"/>
      <c r="RZ29" s="501"/>
      <c r="SA29" s="501"/>
      <c r="SB29" s="501"/>
      <c r="SC29" s="501"/>
      <c r="SD29" s="501"/>
      <c r="SE29" s="501"/>
      <c r="SF29" s="501"/>
      <c r="SG29" s="501"/>
      <c r="SH29" s="501"/>
      <c r="SI29" s="501"/>
      <c r="SJ29" s="501"/>
      <c r="SK29" s="501"/>
      <c r="SL29" s="501"/>
      <c r="SM29" s="501"/>
      <c r="SN29" s="501"/>
      <c r="SO29" s="501"/>
      <c r="SP29" s="501"/>
      <c r="SQ29" s="501"/>
      <c r="SR29" s="501"/>
      <c r="SS29" s="501"/>
      <c r="ST29" s="501"/>
      <c r="SU29" s="501"/>
      <c r="SV29" s="501"/>
      <c r="SW29" s="501"/>
      <c r="SX29" s="501"/>
      <c r="SY29" s="501"/>
      <c r="SZ29" s="501"/>
      <c r="TA29" s="501"/>
      <c r="TB29" s="501"/>
      <c r="TC29" s="501"/>
      <c r="TD29" s="501"/>
      <c r="TE29" s="501"/>
      <c r="TF29" s="501"/>
      <c r="TG29" s="501"/>
      <c r="TH29" s="501"/>
      <c r="TI29" s="501"/>
      <c r="TJ29" s="501"/>
      <c r="TK29" s="501"/>
      <c r="TL29" s="501"/>
      <c r="TM29" s="501"/>
      <c r="TN29" s="501"/>
      <c r="TO29" s="501"/>
      <c r="TP29" s="501"/>
      <c r="TQ29" s="501"/>
      <c r="TR29" s="501"/>
      <c r="TS29" s="501"/>
      <c r="TT29" s="501"/>
      <c r="TU29" s="501"/>
      <c r="TV29" s="501"/>
      <c r="TW29" s="501"/>
      <c r="TX29" s="501"/>
      <c r="TY29" s="501"/>
      <c r="TZ29" s="501"/>
      <c r="UA29" s="501"/>
      <c r="UB29" s="501"/>
      <c r="UC29" s="501"/>
      <c r="UD29" s="501"/>
      <c r="UE29" s="501"/>
      <c r="UF29" s="501"/>
      <c r="UG29" s="501"/>
      <c r="UH29" s="501"/>
      <c r="UI29" s="501"/>
      <c r="UJ29" s="501"/>
      <c r="UK29" s="501"/>
      <c r="UL29" s="501"/>
      <c r="UM29" s="501"/>
      <c r="UN29" s="501"/>
      <c r="UO29" s="501"/>
      <c r="UP29" s="501"/>
      <c r="UQ29" s="501"/>
      <c r="UR29" s="501"/>
      <c r="US29" s="501"/>
      <c r="UT29" s="501"/>
      <c r="UU29" s="501"/>
      <c r="UV29" s="501"/>
      <c r="UW29" s="501"/>
      <c r="UX29" s="501"/>
      <c r="UY29" s="501"/>
      <c r="UZ29" s="501"/>
      <c r="VA29" s="501"/>
      <c r="VB29" s="501"/>
      <c r="VC29" s="501"/>
      <c r="VD29" s="501"/>
      <c r="VE29" s="501"/>
      <c r="VF29" s="501"/>
      <c r="VG29" s="501"/>
      <c r="VH29" s="501"/>
      <c r="VI29" s="501"/>
      <c r="VJ29" s="501"/>
      <c r="VK29" s="501"/>
      <c r="VL29" s="501"/>
      <c r="VM29" s="501"/>
      <c r="VN29" s="501"/>
      <c r="VO29" s="501"/>
      <c r="VP29" s="501"/>
      <c r="VQ29" s="501"/>
      <c r="VR29" s="501"/>
      <c r="VS29" s="501"/>
      <c r="VT29" s="501"/>
      <c r="VU29" s="501"/>
      <c r="VV29" s="501"/>
      <c r="VW29" s="501"/>
      <c r="VX29" s="501"/>
      <c r="VY29" s="501"/>
      <c r="VZ29" s="501"/>
      <c r="WA29" s="501"/>
      <c r="WB29" s="501"/>
      <c r="WC29" s="501"/>
      <c r="WD29" s="501"/>
      <c r="WE29" s="501"/>
      <c r="WF29" s="501"/>
      <c r="WG29" s="501"/>
      <c r="WH29" s="501"/>
      <c r="WI29" s="501"/>
      <c r="WJ29" s="501"/>
      <c r="WK29" s="501"/>
      <c r="WL29" s="501"/>
      <c r="WM29" s="501"/>
      <c r="WN29" s="501"/>
      <c r="WO29" s="501"/>
      <c r="WP29" s="501"/>
      <c r="WQ29" s="501"/>
      <c r="WR29" s="501"/>
      <c r="WS29" s="501"/>
      <c r="WT29" s="501"/>
      <c r="WU29" s="501"/>
      <c r="WV29" s="501"/>
      <c r="WW29" s="501"/>
      <c r="WX29" s="501"/>
      <c r="WY29" s="501"/>
      <c r="WZ29" s="501"/>
      <c r="XA29" s="501"/>
      <c r="XB29" s="501"/>
      <c r="XC29" s="501"/>
      <c r="XD29" s="501"/>
      <c r="XE29" s="501"/>
      <c r="XF29" s="501"/>
      <c r="XG29" s="501"/>
      <c r="XH29" s="501"/>
      <c r="XI29" s="501"/>
      <c r="XJ29" s="501"/>
      <c r="XK29" s="501"/>
      <c r="XL29" s="501"/>
      <c r="XM29" s="501"/>
      <c r="XN29" s="501"/>
      <c r="XO29" s="501"/>
      <c r="XP29" s="501"/>
      <c r="XQ29" s="501"/>
      <c r="XR29" s="501"/>
      <c r="XS29" s="501"/>
      <c r="XT29" s="501"/>
      <c r="XU29" s="501"/>
      <c r="XV29" s="501"/>
      <c r="XW29" s="501"/>
      <c r="XX29" s="501"/>
      <c r="XY29" s="501"/>
      <c r="XZ29" s="501"/>
      <c r="YA29" s="501"/>
      <c r="YB29" s="501"/>
      <c r="YC29" s="501"/>
      <c r="YD29" s="501"/>
      <c r="YE29" s="501"/>
      <c r="YF29" s="501"/>
      <c r="YG29" s="501"/>
      <c r="YH29" s="501"/>
      <c r="YI29" s="501"/>
      <c r="YJ29" s="501"/>
      <c r="YK29" s="501"/>
      <c r="YL29" s="501"/>
      <c r="YM29" s="501"/>
      <c r="YN29" s="501"/>
      <c r="YO29" s="501"/>
      <c r="YP29" s="501"/>
      <c r="YQ29" s="501"/>
      <c r="YR29" s="501"/>
      <c r="YS29" s="501"/>
      <c r="YT29" s="501"/>
      <c r="YU29" s="501"/>
      <c r="YV29" s="501"/>
      <c r="YW29" s="501"/>
      <c r="YX29" s="501"/>
      <c r="YY29" s="501"/>
      <c r="YZ29" s="501"/>
      <c r="ZA29" s="501"/>
      <c r="ZB29" s="501"/>
      <c r="ZC29" s="501"/>
      <c r="ZD29" s="501"/>
      <c r="ZE29" s="501"/>
      <c r="ZF29" s="501"/>
      <c r="ZG29" s="501"/>
      <c r="ZH29" s="501"/>
      <c r="ZI29" s="501"/>
      <c r="ZJ29" s="501"/>
      <c r="ZK29" s="501"/>
      <c r="ZL29" s="501"/>
      <c r="ZM29" s="501"/>
      <c r="ZN29" s="501"/>
      <c r="ZO29" s="501"/>
      <c r="ZP29" s="501"/>
      <c r="ZQ29" s="501"/>
      <c r="ZR29" s="501"/>
      <c r="ZS29" s="501"/>
      <c r="ZT29" s="501"/>
      <c r="ZU29" s="501"/>
      <c r="ZV29" s="501"/>
      <c r="ZW29" s="501"/>
      <c r="ZX29" s="501"/>
      <c r="ZY29" s="501"/>
      <c r="ZZ29" s="501"/>
      <c r="AAA29" s="501"/>
      <c r="AAB29" s="501"/>
      <c r="AAC29" s="501"/>
      <c r="AAD29" s="501"/>
      <c r="AAE29" s="501"/>
      <c r="AAF29" s="501"/>
      <c r="AAG29" s="501"/>
      <c r="AAH29" s="501"/>
      <c r="AAI29" s="501"/>
      <c r="AAJ29" s="501"/>
      <c r="AAK29" s="501"/>
      <c r="AAL29" s="501"/>
      <c r="AAM29" s="501"/>
      <c r="AAN29" s="501"/>
      <c r="AAO29" s="501"/>
      <c r="AAP29" s="501"/>
      <c r="AAQ29" s="501"/>
      <c r="AAR29" s="501"/>
      <c r="AAS29" s="501"/>
      <c r="AAT29" s="501"/>
      <c r="AAU29" s="501"/>
      <c r="AAV29" s="501"/>
      <c r="AAW29" s="501"/>
      <c r="AAX29" s="501"/>
      <c r="AAY29" s="501"/>
      <c r="AAZ29" s="501"/>
      <c r="ABA29" s="501"/>
      <c r="ABB29" s="501"/>
      <c r="ABC29" s="501"/>
      <c r="ABD29" s="501"/>
      <c r="ABE29" s="501"/>
      <c r="ABF29" s="501"/>
      <c r="ABG29" s="501"/>
      <c r="ABH29" s="501"/>
      <c r="ABI29" s="501"/>
      <c r="ABJ29" s="501"/>
      <c r="ABK29" s="501"/>
      <c r="ABL29" s="501"/>
      <c r="ABM29" s="501"/>
      <c r="ABN29" s="501"/>
      <c r="ABO29" s="501"/>
      <c r="ABP29" s="501"/>
      <c r="ABQ29" s="501"/>
      <c r="ABR29" s="501"/>
      <c r="ABS29" s="501"/>
      <c r="ABT29" s="501"/>
      <c r="ABU29" s="501"/>
      <c r="ABV29" s="501"/>
      <c r="ABW29" s="501"/>
      <c r="ABX29" s="501"/>
      <c r="ABY29" s="501"/>
      <c r="ABZ29" s="501"/>
      <c r="ACA29" s="501"/>
      <c r="ACB29" s="501"/>
      <c r="ACC29" s="501"/>
      <c r="ACD29" s="501"/>
      <c r="ACE29" s="501"/>
      <c r="ACF29" s="501"/>
      <c r="ACG29" s="501"/>
      <c r="ACH29" s="501"/>
      <c r="ACI29" s="501"/>
      <c r="ACJ29" s="501"/>
      <c r="ACK29" s="501"/>
      <c r="ACL29" s="501"/>
      <c r="ACM29" s="501"/>
      <c r="ACN29" s="501"/>
      <c r="ACO29" s="501"/>
      <c r="ACP29" s="501"/>
      <c r="ACQ29" s="501"/>
      <c r="ACR29" s="501"/>
      <c r="ACS29" s="501"/>
      <c r="ACT29" s="501"/>
      <c r="ACU29" s="501"/>
      <c r="ACV29" s="501"/>
      <c r="ACW29" s="501"/>
      <c r="ACX29" s="501"/>
      <c r="ACY29" s="501"/>
      <c r="ACZ29" s="501"/>
      <c r="ADA29" s="501"/>
      <c r="ADB29" s="501"/>
      <c r="ADC29" s="501"/>
      <c r="ADD29" s="501"/>
      <c r="ADE29" s="501"/>
      <c r="ADF29" s="501"/>
      <c r="ADG29" s="501"/>
      <c r="ADH29" s="501"/>
      <c r="ADI29" s="501"/>
      <c r="ADJ29" s="501"/>
      <c r="ADK29" s="501"/>
      <c r="ADL29" s="501"/>
      <c r="ADM29" s="501"/>
      <c r="ADN29" s="501"/>
      <c r="ADO29" s="501"/>
      <c r="ADP29" s="501"/>
      <c r="ADQ29" s="501"/>
      <c r="ADR29" s="501"/>
      <c r="ADS29" s="501"/>
      <c r="ADT29" s="501"/>
      <c r="ADU29" s="501"/>
      <c r="ADV29" s="501"/>
      <c r="ADW29" s="501"/>
      <c r="ADX29" s="501"/>
      <c r="ADY29" s="501"/>
      <c r="ADZ29" s="501"/>
      <c r="AEA29" s="501"/>
      <c r="AEB29" s="501"/>
      <c r="AEC29" s="501"/>
      <c r="AED29" s="501"/>
      <c r="AEE29" s="501"/>
      <c r="AEF29" s="501"/>
      <c r="AEG29" s="501"/>
      <c r="AEH29" s="501"/>
      <c r="AEI29" s="501"/>
      <c r="AEJ29" s="501"/>
      <c r="AEK29" s="501"/>
      <c r="AEL29" s="501"/>
      <c r="AEM29" s="501"/>
      <c r="AEN29" s="501"/>
      <c r="AEO29" s="501"/>
      <c r="AEP29" s="501"/>
      <c r="AEQ29" s="501"/>
      <c r="AER29" s="501"/>
      <c r="AES29" s="501"/>
      <c r="AET29" s="501"/>
      <c r="AEU29" s="501"/>
      <c r="AEV29" s="501"/>
      <c r="AEW29" s="501"/>
      <c r="AEX29" s="501"/>
      <c r="AEY29" s="501"/>
      <c r="AEZ29" s="501"/>
      <c r="AFA29" s="501"/>
      <c r="AFB29" s="501"/>
      <c r="AFC29" s="501"/>
      <c r="AFD29" s="501"/>
      <c r="AFE29" s="501"/>
      <c r="AFF29" s="501"/>
      <c r="AFG29" s="501"/>
      <c r="AFH29" s="501"/>
      <c r="AFI29" s="501"/>
      <c r="AFJ29" s="501"/>
      <c r="AFK29" s="501"/>
      <c r="AFL29" s="501"/>
      <c r="AFM29" s="501"/>
      <c r="AFN29" s="501"/>
      <c r="AFO29" s="501"/>
      <c r="AFP29" s="501"/>
      <c r="AFQ29" s="501"/>
      <c r="AFR29" s="501"/>
      <c r="AFS29" s="501"/>
      <c r="AFT29" s="501"/>
      <c r="AFU29" s="501"/>
      <c r="AFV29" s="501"/>
      <c r="AFW29" s="501"/>
      <c r="AFX29" s="501"/>
      <c r="AFY29" s="501"/>
      <c r="AFZ29" s="501"/>
      <c r="AGA29" s="501"/>
      <c r="AGB29" s="501"/>
      <c r="AGC29" s="501"/>
      <c r="AGD29" s="501"/>
      <c r="AGE29" s="501"/>
      <c r="AGF29" s="501"/>
      <c r="AGG29" s="501"/>
      <c r="AGH29" s="501"/>
      <c r="AGI29" s="501"/>
      <c r="AGJ29" s="501"/>
      <c r="AGK29" s="501"/>
      <c r="AGL29" s="501"/>
      <c r="AGM29" s="501"/>
      <c r="AGN29" s="501"/>
      <c r="AGO29" s="501"/>
      <c r="AGP29" s="501"/>
      <c r="AGQ29" s="501"/>
      <c r="AGR29" s="501"/>
      <c r="AGS29" s="501"/>
      <c r="AGT29" s="501"/>
      <c r="AGU29" s="501"/>
      <c r="AGV29" s="501"/>
      <c r="AGW29" s="501"/>
      <c r="AGX29" s="501"/>
      <c r="AGY29" s="501"/>
      <c r="AGZ29" s="501"/>
      <c r="AHA29" s="501"/>
      <c r="AHB29" s="501"/>
      <c r="AHC29" s="501"/>
      <c r="AHD29" s="501"/>
      <c r="AHE29" s="501"/>
      <c r="AHF29" s="501"/>
      <c r="AHG29" s="501"/>
      <c r="AHH29" s="501"/>
      <c r="AHI29" s="501"/>
      <c r="AHJ29" s="501"/>
      <c r="AHK29" s="501"/>
      <c r="AHL29" s="501"/>
      <c r="AHM29" s="501"/>
      <c r="AHN29" s="501"/>
      <c r="AHO29" s="501"/>
      <c r="AHP29" s="501"/>
      <c r="AHQ29" s="501"/>
      <c r="AHR29" s="501"/>
      <c r="AHS29" s="501"/>
      <c r="AHT29" s="501"/>
      <c r="AHU29" s="501"/>
      <c r="AHV29" s="501"/>
      <c r="AHW29" s="501"/>
      <c r="AHX29" s="501"/>
      <c r="AHY29" s="501"/>
      <c r="AHZ29" s="501"/>
      <c r="AIA29" s="501"/>
      <c r="AIB29" s="501"/>
      <c r="AIC29" s="501"/>
      <c r="AID29" s="501"/>
      <c r="AIE29" s="501"/>
      <c r="AIF29" s="501"/>
      <c r="AIG29" s="501"/>
      <c r="AIH29" s="501"/>
      <c r="AII29" s="501"/>
      <c r="AIJ29" s="501"/>
      <c r="AIK29" s="501"/>
      <c r="AIL29" s="501"/>
      <c r="AIM29" s="501"/>
      <c r="AIN29" s="501"/>
      <c r="AIO29" s="501"/>
      <c r="AIP29" s="501"/>
      <c r="AIQ29" s="501"/>
      <c r="AIR29" s="501"/>
      <c r="AIS29" s="501"/>
      <c r="AIT29" s="501"/>
      <c r="AIU29" s="501"/>
      <c r="AIV29" s="501"/>
      <c r="AIW29" s="501"/>
      <c r="AIX29" s="501"/>
      <c r="AIY29" s="501"/>
      <c r="AIZ29" s="501"/>
      <c r="AJA29" s="501"/>
      <c r="AJB29" s="501"/>
      <c r="AJC29" s="501"/>
      <c r="AJD29" s="501"/>
      <c r="AJE29" s="501"/>
      <c r="AJF29" s="501"/>
      <c r="AJG29" s="501"/>
      <c r="AJH29" s="501"/>
      <c r="AJI29" s="501"/>
      <c r="AJJ29" s="501"/>
      <c r="AJK29" s="501"/>
      <c r="AJL29" s="501"/>
      <c r="AJM29" s="501"/>
      <c r="AJN29" s="501"/>
      <c r="AJO29" s="501"/>
      <c r="AJP29" s="501"/>
      <c r="AJQ29" s="501"/>
      <c r="AJR29" s="501"/>
      <c r="AJS29" s="501"/>
      <c r="AJT29" s="501"/>
      <c r="AJU29" s="501"/>
      <c r="AJV29" s="501"/>
      <c r="AJW29" s="501"/>
      <c r="AJX29" s="501"/>
      <c r="AJY29" s="501"/>
      <c r="AJZ29" s="501"/>
      <c r="AKA29" s="501"/>
      <c r="AKB29" s="501"/>
      <c r="AKC29" s="501"/>
      <c r="AKD29" s="501"/>
      <c r="AKE29" s="501"/>
      <c r="AKF29" s="501"/>
      <c r="AKG29" s="501"/>
      <c r="AKH29" s="501"/>
      <c r="AKI29" s="501"/>
      <c r="AKJ29" s="501"/>
      <c r="AKK29" s="501"/>
      <c r="AKL29" s="501"/>
      <c r="AKM29" s="501"/>
      <c r="AKN29" s="501"/>
      <c r="AKO29" s="501"/>
      <c r="AKP29" s="501"/>
      <c r="AKQ29" s="501"/>
      <c r="AKR29" s="501"/>
      <c r="AKS29" s="501"/>
      <c r="AKT29" s="501"/>
      <c r="AKU29" s="501"/>
      <c r="AKV29" s="501"/>
      <c r="AKW29" s="501"/>
      <c r="AKX29" s="501"/>
      <c r="AKY29" s="501"/>
      <c r="AKZ29" s="501"/>
      <c r="ALA29" s="501"/>
      <c r="ALB29" s="501"/>
      <c r="ALC29" s="501"/>
      <c r="ALD29" s="501"/>
      <c r="ALE29" s="501"/>
      <c r="ALF29" s="501"/>
      <c r="ALG29" s="501"/>
      <c r="ALH29" s="501"/>
      <c r="ALI29" s="501"/>
      <c r="ALJ29" s="501"/>
      <c r="ALK29" s="501"/>
      <c r="ALL29" s="501"/>
      <c r="ALM29" s="501"/>
      <c r="ALN29" s="501"/>
      <c r="ALO29" s="501"/>
      <c r="ALP29" s="501"/>
      <c r="ALQ29" s="501"/>
      <c r="ALR29" s="501"/>
      <c r="ALS29" s="501"/>
      <c r="ALT29" s="501"/>
      <c r="ALU29" s="501"/>
      <c r="ALV29" s="501"/>
      <c r="ALW29" s="501"/>
      <c r="ALX29" s="501"/>
      <c r="ALY29" s="501"/>
      <c r="ALZ29" s="501"/>
      <c r="AMA29" s="501"/>
      <c r="AMB29" s="501"/>
      <c r="AMC29" s="501"/>
      <c r="AMD29" s="501"/>
      <c r="AME29" s="501"/>
      <c r="AMF29" s="501"/>
      <c r="AMG29" s="501"/>
      <c r="AMH29" s="501"/>
      <c r="AMI29" s="501"/>
      <c r="AMJ29" s="501"/>
      <c r="AMK29" s="501"/>
      <c r="AML29" s="501"/>
      <c r="AMM29" s="501"/>
      <c r="AMN29" s="501"/>
      <c r="AMO29" s="501"/>
      <c r="AMP29" s="501"/>
      <c r="AMQ29" s="501"/>
      <c r="AMR29" s="501"/>
      <c r="AMS29" s="501"/>
      <c r="AMT29" s="501"/>
      <c r="AMU29" s="501"/>
      <c r="AMV29" s="501"/>
      <c r="AMW29" s="501"/>
      <c r="AMX29" s="501"/>
      <c r="AMY29" s="501"/>
      <c r="AMZ29" s="501"/>
      <c r="ANA29" s="501"/>
      <c r="ANB29" s="501"/>
      <c r="ANC29" s="501"/>
      <c r="AND29" s="501"/>
      <c r="ANE29" s="501"/>
      <c r="ANF29" s="501"/>
      <c r="ANG29" s="501"/>
      <c r="ANH29" s="501"/>
      <c r="ANI29" s="501"/>
      <c r="ANJ29" s="501"/>
      <c r="ANK29" s="501"/>
      <c r="ANL29" s="501"/>
      <c r="ANM29" s="501"/>
      <c r="ANN29" s="501"/>
      <c r="ANO29" s="501"/>
      <c r="ANP29" s="501"/>
      <c r="ANQ29" s="501"/>
      <c r="ANR29" s="501"/>
      <c r="ANS29" s="501"/>
      <c r="ANT29" s="501"/>
      <c r="ANU29" s="501"/>
      <c r="ANV29" s="501"/>
      <c r="ANW29" s="501"/>
      <c r="ANX29" s="501"/>
      <c r="ANY29" s="501"/>
      <c r="ANZ29" s="501"/>
      <c r="AOA29" s="501"/>
      <c r="AOB29" s="501"/>
      <c r="AOC29" s="501"/>
      <c r="AOD29" s="501"/>
      <c r="AOE29" s="501"/>
      <c r="AOF29" s="501"/>
      <c r="AOG29" s="501"/>
      <c r="AOH29" s="501"/>
      <c r="AOI29" s="501"/>
      <c r="AOJ29" s="501"/>
      <c r="AOK29" s="501"/>
      <c r="AOL29" s="501"/>
      <c r="AOM29" s="501"/>
      <c r="AON29" s="501"/>
      <c r="AOO29" s="501"/>
      <c r="AOP29" s="501"/>
      <c r="AOQ29" s="501"/>
      <c r="AOR29" s="501"/>
      <c r="AOS29" s="501"/>
      <c r="AOT29" s="501"/>
      <c r="AOU29" s="501"/>
      <c r="AOV29" s="501"/>
      <c r="AOW29" s="501"/>
      <c r="AOX29" s="501"/>
      <c r="AOY29" s="501"/>
      <c r="AOZ29" s="501"/>
      <c r="APA29" s="501"/>
      <c r="APB29" s="501"/>
      <c r="APC29" s="501"/>
      <c r="APD29" s="501"/>
      <c r="APE29" s="501"/>
      <c r="APF29" s="501"/>
      <c r="APG29" s="501"/>
      <c r="APH29" s="501"/>
      <c r="API29" s="501"/>
      <c r="APJ29" s="501"/>
      <c r="APK29" s="501"/>
      <c r="APL29" s="501"/>
      <c r="APM29" s="501"/>
      <c r="APN29" s="501"/>
      <c r="APO29" s="501"/>
      <c r="APP29" s="501"/>
      <c r="APQ29" s="501"/>
      <c r="APR29" s="501"/>
      <c r="APS29" s="501"/>
      <c r="APT29" s="501"/>
      <c r="APU29" s="501"/>
      <c r="APV29" s="501"/>
      <c r="APW29" s="501"/>
      <c r="APX29" s="501"/>
      <c r="APY29" s="501"/>
      <c r="APZ29" s="501"/>
      <c r="AQA29" s="501"/>
      <c r="AQB29" s="501"/>
      <c r="AQC29" s="501"/>
      <c r="AQD29" s="501"/>
      <c r="AQE29" s="501"/>
      <c r="AQF29" s="501"/>
      <c r="AQG29" s="501"/>
      <c r="AQH29" s="501"/>
      <c r="AQI29" s="501"/>
      <c r="AQJ29" s="501"/>
      <c r="AQK29" s="501"/>
      <c r="AQL29" s="501"/>
      <c r="AQM29" s="501"/>
      <c r="AQN29" s="501"/>
      <c r="AQO29" s="501"/>
      <c r="AQP29" s="501"/>
      <c r="AQQ29" s="501"/>
      <c r="AQR29" s="501"/>
      <c r="AQS29" s="501"/>
      <c r="AQT29" s="501"/>
      <c r="AQU29" s="501"/>
      <c r="AQV29" s="501"/>
      <c r="AQW29" s="501"/>
      <c r="AQX29" s="501"/>
      <c r="AQY29" s="501"/>
      <c r="AQZ29" s="501"/>
      <c r="ARA29" s="501"/>
      <c r="ARB29" s="501"/>
      <c r="ARC29" s="501"/>
      <c r="ARD29" s="501"/>
      <c r="ARE29" s="501"/>
      <c r="ARF29" s="501"/>
      <c r="ARG29" s="501"/>
      <c r="ARH29" s="501"/>
      <c r="ARI29" s="501"/>
      <c r="ARJ29" s="501"/>
      <c r="ARK29" s="501"/>
      <c r="ARL29" s="501"/>
      <c r="ARM29" s="501"/>
      <c r="ARN29" s="501"/>
      <c r="ARO29" s="501"/>
      <c r="ARP29" s="501"/>
      <c r="ARQ29" s="501"/>
      <c r="ARR29" s="501"/>
      <c r="ARS29" s="501"/>
      <c r="ART29" s="501"/>
      <c r="ARU29" s="501"/>
      <c r="ARV29" s="501"/>
      <c r="ARW29" s="501"/>
      <c r="ARX29" s="501"/>
      <c r="ARY29" s="501"/>
      <c r="ARZ29" s="501"/>
      <c r="ASA29" s="501"/>
      <c r="ASB29" s="501"/>
      <c r="ASC29" s="501"/>
      <c r="ASD29" s="501"/>
      <c r="ASE29" s="501"/>
      <c r="ASF29" s="501"/>
      <c r="ASG29" s="501"/>
      <c r="ASH29" s="501"/>
      <c r="ASI29" s="501"/>
      <c r="ASJ29" s="501"/>
      <c r="ASK29" s="501"/>
      <c r="ASL29" s="501"/>
      <c r="ASM29" s="501"/>
      <c r="ASN29" s="501"/>
      <c r="ASO29" s="501"/>
      <c r="ASP29" s="501"/>
      <c r="ASQ29" s="501"/>
      <c r="ASR29" s="501"/>
      <c r="ASS29" s="501"/>
      <c r="AST29" s="501"/>
      <c r="ASU29" s="501"/>
      <c r="ASV29" s="501"/>
      <c r="ASW29" s="501"/>
      <c r="ASX29" s="501"/>
      <c r="ASY29" s="501"/>
      <c r="ASZ29" s="501"/>
      <c r="ATA29" s="501"/>
      <c r="ATB29" s="501"/>
      <c r="ATC29" s="501"/>
      <c r="ATD29" s="501"/>
      <c r="ATE29" s="501"/>
      <c r="ATF29" s="501"/>
      <c r="ATG29" s="501"/>
      <c r="ATH29" s="501"/>
      <c r="ATI29" s="501"/>
      <c r="ATJ29" s="501"/>
      <c r="ATK29" s="501"/>
      <c r="ATL29" s="501"/>
      <c r="ATM29" s="501"/>
      <c r="ATN29" s="501"/>
      <c r="ATO29" s="501"/>
      <c r="ATP29" s="501"/>
      <c r="ATQ29" s="501"/>
      <c r="ATR29" s="501"/>
      <c r="ATS29" s="501"/>
      <c r="ATT29" s="501"/>
      <c r="ATU29" s="501"/>
      <c r="ATV29" s="501"/>
      <c r="ATW29" s="501"/>
      <c r="ATX29" s="501"/>
      <c r="ATY29" s="501"/>
      <c r="ATZ29" s="501"/>
      <c r="AUA29" s="501"/>
      <c r="AUB29" s="501"/>
      <c r="AUC29" s="501"/>
      <c r="AUD29" s="501"/>
      <c r="AUE29" s="501"/>
      <c r="AUF29" s="501"/>
      <c r="AUG29" s="501"/>
      <c r="AUH29" s="501"/>
      <c r="AUI29" s="501"/>
      <c r="AUJ29" s="501"/>
      <c r="AUK29" s="501"/>
      <c r="AUL29" s="501"/>
      <c r="AUM29" s="501"/>
      <c r="AUN29" s="501"/>
      <c r="AUO29" s="501"/>
      <c r="AUP29" s="501"/>
      <c r="AUQ29" s="501"/>
      <c r="AUR29" s="501"/>
      <c r="AUS29" s="501"/>
      <c r="AUT29" s="501"/>
      <c r="AUU29" s="501"/>
      <c r="AUV29" s="501"/>
      <c r="AUW29" s="501"/>
      <c r="AUX29" s="501"/>
      <c r="AUY29" s="501"/>
      <c r="AUZ29" s="501"/>
      <c r="AVA29" s="501"/>
      <c r="AVB29" s="501"/>
      <c r="AVC29" s="501"/>
      <c r="AVD29" s="501"/>
      <c r="AVE29" s="501"/>
      <c r="AVF29" s="501"/>
      <c r="AVG29" s="501"/>
      <c r="AVH29" s="501"/>
      <c r="AVI29" s="501"/>
      <c r="AVJ29" s="501"/>
      <c r="AVK29" s="501"/>
      <c r="AVL29" s="501"/>
      <c r="AVM29" s="501"/>
      <c r="AVN29" s="501"/>
      <c r="AVO29" s="501"/>
      <c r="AVP29" s="501"/>
      <c r="AVQ29" s="501"/>
      <c r="AVR29" s="501"/>
      <c r="AVS29" s="501"/>
      <c r="AVT29" s="501"/>
      <c r="AVU29" s="501"/>
      <c r="AVV29" s="501"/>
      <c r="AVW29" s="501"/>
      <c r="AVX29" s="501"/>
      <c r="AVY29" s="501"/>
      <c r="AVZ29" s="501"/>
      <c r="AWA29" s="501"/>
      <c r="AWB29" s="501"/>
      <c r="AWC29" s="501"/>
      <c r="AWD29" s="501"/>
      <c r="AWE29" s="501"/>
      <c r="AWF29" s="501"/>
      <c r="AWG29" s="501"/>
      <c r="AWH29" s="501"/>
      <c r="AWI29" s="501"/>
      <c r="AWJ29" s="501"/>
      <c r="AWK29" s="501"/>
      <c r="AWL29" s="501"/>
      <c r="AWM29" s="501"/>
      <c r="AWN29" s="501"/>
      <c r="AWO29" s="501"/>
      <c r="AWP29" s="501"/>
      <c r="AWQ29" s="501"/>
      <c r="AWR29" s="501"/>
      <c r="AWS29" s="501"/>
      <c r="AWT29" s="501"/>
      <c r="AWU29" s="501"/>
      <c r="AWV29" s="501"/>
      <c r="AWW29" s="501"/>
      <c r="AWX29" s="501"/>
      <c r="AWY29" s="501"/>
      <c r="AWZ29" s="501"/>
      <c r="AXA29" s="501"/>
      <c r="AXB29" s="501"/>
      <c r="AXC29" s="501"/>
      <c r="AXD29" s="501"/>
      <c r="AXE29" s="501"/>
      <c r="AXF29" s="501"/>
      <c r="AXG29" s="501"/>
      <c r="AXH29" s="501"/>
      <c r="AXI29" s="501"/>
      <c r="AXJ29" s="501"/>
      <c r="AXK29" s="501"/>
      <c r="AXL29" s="501"/>
      <c r="AXM29" s="501"/>
      <c r="AXN29" s="501"/>
      <c r="AXO29" s="501"/>
      <c r="AXP29" s="501"/>
      <c r="AXQ29" s="501"/>
      <c r="AXR29" s="501"/>
      <c r="AXS29" s="501"/>
      <c r="AXT29" s="501"/>
      <c r="AXU29" s="501"/>
      <c r="AXV29" s="501"/>
      <c r="AXW29" s="501"/>
      <c r="AXX29" s="501"/>
      <c r="AXY29" s="501"/>
      <c r="AXZ29" s="501"/>
      <c r="AYA29" s="501"/>
      <c r="AYB29" s="501"/>
      <c r="AYC29" s="501"/>
      <c r="AYD29" s="501"/>
      <c r="AYE29" s="501"/>
      <c r="AYF29" s="501"/>
      <c r="AYG29" s="501"/>
      <c r="AYH29" s="501"/>
      <c r="AYI29" s="501"/>
      <c r="AYJ29" s="501"/>
      <c r="AYK29" s="501"/>
      <c r="AYL29" s="501"/>
      <c r="AYM29" s="501"/>
      <c r="AYN29" s="501"/>
      <c r="AYO29" s="501"/>
      <c r="AYP29" s="501"/>
      <c r="AYQ29" s="501"/>
      <c r="AYR29" s="501"/>
      <c r="AYS29" s="501"/>
      <c r="AYT29" s="501"/>
      <c r="AYU29" s="501"/>
      <c r="AYV29" s="501"/>
      <c r="AYW29" s="501"/>
      <c r="AYX29" s="501"/>
      <c r="AYY29" s="501"/>
      <c r="AYZ29" s="501"/>
      <c r="AZA29" s="501"/>
      <c r="AZB29" s="501"/>
      <c r="AZC29" s="501"/>
      <c r="AZD29" s="501"/>
      <c r="AZE29" s="501"/>
      <c r="AZF29" s="501"/>
      <c r="AZG29" s="501"/>
      <c r="AZH29" s="501"/>
      <c r="AZI29" s="501"/>
      <c r="AZJ29" s="501"/>
      <c r="AZK29" s="501"/>
      <c r="AZL29" s="501"/>
      <c r="AZM29" s="501"/>
      <c r="AZN29" s="501"/>
      <c r="AZO29" s="501"/>
      <c r="AZP29" s="501"/>
      <c r="AZQ29" s="501"/>
      <c r="AZR29" s="501"/>
      <c r="AZS29" s="501"/>
      <c r="AZT29" s="501"/>
      <c r="AZU29" s="501"/>
      <c r="AZV29" s="501"/>
      <c r="AZW29" s="501"/>
      <c r="AZX29" s="501"/>
      <c r="AZY29" s="501"/>
      <c r="AZZ29" s="501"/>
      <c r="BAA29" s="501"/>
      <c r="BAB29" s="501"/>
      <c r="BAC29" s="501"/>
      <c r="BAD29" s="501"/>
      <c r="BAE29" s="501"/>
      <c r="BAF29" s="501"/>
      <c r="BAG29" s="501"/>
      <c r="BAH29" s="501"/>
      <c r="BAI29" s="501"/>
      <c r="BAJ29" s="501"/>
      <c r="BAK29" s="501"/>
      <c r="BAL29" s="501"/>
      <c r="BAM29" s="501"/>
      <c r="BAN29" s="501"/>
      <c r="BAO29" s="501"/>
      <c r="BAP29" s="501"/>
      <c r="BAQ29" s="501"/>
      <c r="BAR29" s="501"/>
      <c r="BAS29" s="501"/>
      <c r="BAT29" s="501"/>
      <c r="BAU29" s="501"/>
      <c r="BAV29" s="501"/>
      <c r="BAW29" s="501"/>
      <c r="BAX29" s="501"/>
      <c r="BAY29" s="501"/>
      <c r="BAZ29" s="501"/>
      <c r="BBA29" s="501"/>
      <c r="BBB29" s="501"/>
      <c r="BBC29" s="501"/>
      <c r="BBD29" s="501"/>
      <c r="BBE29" s="501"/>
      <c r="BBF29" s="501"/>
      <c r="BBG29" s="501"/>
      <c r="BBH29" s="501"/>
      <c r="BBI29" s="501"/>
      <c r="BBJ29" s="501"/>
      <c r="BBK29" s="501"/>
      <c r="BBL29" s="501"/>
      <c r="BBM29" s="501"/>
      <c r="BBN29" s="501"/>
      <c r="BBO29" s="501"/>
      <c r="BBP29" s="501"/>
      <c r="BBQ29" s="501"/>
      <c r="BBR29" s="501"/>
      <c r="BBS29" s="501"/>
      <c r="BBT29" s="501"/>
      <c r="BBU29" s="501"/>
      <c r="BBV29" s="501"/>
      <c r="BBW29" s="501"/>
      <c r="BBX29" s="501"/>
      <c r="BBY29" s="501"/>
      <c r="BBZ29" s="501"/>
      <c r="BCA29" s="501"/>
      <c r="BCB29" s="501"/>
      <c r="BCC29" s="501"/>
      <c r="BCD29" s="501"/>
      <c r="BCE29" s="501"/>
      <c r="BCF29" s="501"/>
      <c r="BCG29" s="501"/>
      <c r="BCH29" s="501"/>
      <c r="BCI29" s="501"/>
      <c r="BCJ29" s="501"/>
      <c r="BCK29" s="501"/>
      <c r="BCL29" s="501"/>
      <c r="BCM29" s="501"/>
      <c r="BCN29" s="501"/>
      <c r="BCO29" s="501"/>
      <c r="BCP29" s="501"/>
      <c r="BCQ29" s="501"/>
      <c r="BCR29" s="501"/>
      <c r="BCS29" s="501"/>
      <c r="BCT29" s="501"/>
      <c r="BCU29" s="501"/>
      <c r="BCV29" s="501"/>
      <c r="BCW29" s="501"/>
      <c r="BCX29" s="501"/>
      <c r="BCY29" s="501"/>
      <c r="BCZ29" s="501"/>
      <c r="BDA29" s="501"/>
      <c r="BDB29" s="501"/>
      <c r="BDC29" s="501"/>
      <c r="BDD29" s="501"/>
      <c r="BDE29" s="501"/>
      <c r="BDF29" s="501"/>
      <c r="BDG29" s="501"/>
      <c r="BDH29" s="501"/>
      <c r="BDI29" s="501"/>
      <c r="BDJ29" s="501"/>
      <c r="BDK29" s="501"/>
      <c r="BDL29" s="501"/>
      <c r="BDM29" s="501"/>
      <c r="BDN29" s="501"/>
      <c r="BDO29" s="501"/>
      <c r="BDP29" s="501"/>
      <c r="BDQ29" s="501"/>
      <c r="BDR29" s="501"/>
      <c r="BDS29" s="501"/>
      <c r="BDT29" s="501"/>
      <c r="BDU29" s="501"/>
      <c r="BDV29" s="501"/>
      <c r="BDW29" s="501"/>
      <c r="BDX29" s="501"/>
      <c r="BDY29" s="501"/>
      <c r="BDZ29" s="501"/>
      <c r="BEA29" s="501"/>
      <c r="BEB29" s="501"/>
      <c r="BEC29" s="501"/>
      <c r="BED29" s="501"/>
      <c r="BEE29" s="501"/>
      <c r="BEF29" s="501"/>
      <c r="BEG29" s="501"/>
      <c r="BEH29" s="501"/>
      <c r="BEI29" s="501"/>
      <c r="BEJ29" s="501"/>
      <c r="BEK29" s="501"/>
      <c r="BEL29" s="501"/>
      <c r="BEM29" s="501"/>
      <c r="BEN29" s="501"/>
      <c r="BEO29" s="501"/>
      <c r="BEP29" s="501"/>
      <c r="BEQ29" s="501"/>
      <c r="BER29" s="501"/>
      <c r="BES29" s="501"/>
      <c r="BET29" s="501"/>
      <c r="BEU29" s="501"/>
      <c r="BEV29" s="501"/>
      <c r="BEW29" s="501"/>
      <c r="BEX29" s="501"/>
      <c r="BEY29" s="501"/>
      <c r="BEZ29" s="501"/>
      <c r="BFA29" s="501"/>
      <c r="BFB29" s="501"/>
      <c r="BFC29" s="501"/>
      <c r="BFD29" s="501"/>
      <c r="BFE29" s="501"/>
      <c r="BFF29" s="501"/>
      <c r="BFG29" s="501"/>
      <c r="BFH29" s="501"/>
      <c r="BFI29" s="501"/>
      <c r="BFJ29" s="501"/>
      <c r="BFK29" s="501"/>
      <c r="BFL29" s="501"/>
      <c r="BFM29" s="501"/>
      <c r="BFN29" s="501"/>
      <c r="BFO29" s="501"/>
      <c r="BFP29" s="501"/>
      <c r="BFQ29" s="501"/>
      <c r="BFR29" s="501"/>
      <c r="BFS29" s="501"/>
      <c r="BFT29" s="501"/>
      <c r="BFU29" s="501"/>
      <c r="BFV29" s="501"/>
      <c r="BFW29" s="501"/>
      <c r="BFX29" s="501"/>
      <c r="BFY29" s="501"/>
      <c r="BFZ29" s="501"/>
      <c r="BGA29" s="501"/>
      <c r="BGB29" s="501"/>
      <c r="BGC29" s="501"/>
      <c r="BGD29" s="501"/>
      <c r="BGE29" s="501"/>
      <c r="BGF29" s="501"/>
      <c r="BGG29" s="501"/>
      <c r="BGH29" s="501"/>
      <c r="BGI29" s="501"/>
      <c r="BGJ29" s="501"/>
      <c r="BGK29" s="501"/>
      <c r="BGL29" s="501"/>
      <c r="BGM29" s="501"/>
      <c r="BGN29" s="501"/>
      <c r="BGO29" s="501"/>
      <c r="BGP29" s="501"/>
      <c r="BGQ29" s="501"/>
      <c r="BGR29" s="501"/>
      <c r="BGS29" s="501"/>
      <c r="BGT29" s="501"/>
      <c r="BGU29" s="501"/>
      <c r="BGV29" s="501"/>
      <c r="BGW29" s="501"/>
      <c r="BGX29" s="501"/>
      <c r="BGY29" s="501"/>
      <c r="BGZ29" s="501"/>
      <c r="BHA29" s="501"/>
      <c r="BHB29" s="501"/>
      <c r="BHC29" s="501"/>
      <c r="BHD29" s="501"/>
      <c r="BHE29" s="501"/>
      <c r="BHF29" s="501"/>
      <c r="BHG29" s="501"/>
      <c r="BHH29" s="501"/>
      <c r="BHI29" s="501"/>
      <c r="BHJ29" s="501"/>
      <c r="BHK29" s="501"/>
      <c r="BHL29" s="501"/>
      <c r="BHM29" s="501"/>
      <c r="BHN29" s="501"/>
      <c r="BHO29" s="501"/>
      <c r="BHP29" s="501"/>
      <c r="BHQ29" s="501"/>
      <c r="BHR29" s="501"/>
      <c r="BHS29" s="501"/>
      <c r="BHT29" s="501"/>
      <c r="BHU29" s="501"/>
      <c r="BHV29" s="501"/>
      <c r="BHW29" s="501"/>
      <c r="BHX29" s="501"/>
      <c r="BHY29" s="501"/>
      <c r="BHZ29" s="501"/>
      <c r="BIA29" s="501"/>
      <c r="BIB29" s="501"/>
      <c r="BIC29" s="501"/>
      <c r="BID29" s="501"/>
      <c r="BIE29" s="501"/>
      <c r="BIF29" s="501"/>
      <c r="BIG29" s="501"/>
      <c r="BIH29" s="501"/>
      <c r="BII29" s="501"/>
      <c r="BIJ29" s="501"/>
      <c r="BIK29" s="501"/>
      <c r="BIL29" s="501"/>
      <c r="BIM29" s="501"/>
      <c r="BIN29" s="501"/>
      <c r="BIO29" s="501"/>
      <c r="BIP29" s="501"/>
      <c r="BIQ29" s="501"/>
      <c r="BIR29" s="501"/>
      <c r="BIS29" s="501"/>
      <c r="BIT29" s="501"/>
      <c r="BIU29" s="501"/>
      <c r="BIV29" s="501"/>
      <c r="BIW29" s="501"/>
      <c r="BIX29" s="501"/>
      <c r="BIY29" s="501"/>
      <c r="BIZ29" s="501"/>
      <c r="BJA29" s="501"/>
      <c r="BJB29" s="501"/>
      <c r="BJC29" s="501"/>
      <c r="BJD29" s="501"/>
      <c r="BJE29" s="501"/>
      <c r="BJF29" s="501"/>
      <c r="BJG29" s="501"/>
      <c r="BJH29" s="501"/>
      <c r="BJI29" s="501"/>
      <c r="BJJ29" s="501"/>
      <c r="BJK29" s="501"/>
      <c r="BJL29" s="501"/>
      <c r="BJM29" s="501"/>
      <c r="BJN29" s="501"/>
      <c r="BJO29" s="501"/>
      <c r="BJP29" s="501"/>
      <c r="BJQ29" s="501"/>
      <c r="BJR29" s="501"/>
      <c r="BJS29" s="501"/>
      <c r="BJT29" s="501"/>
      <c r="BJU29" s="501"/>
      <c r="BJV29" s="501"/>
      <c r="BJW29" s="501"/>
      <c r="BJX29" s="501"/>
      <c r="BJY29" s="501"/>
      <c r="BJZ29" s="501"/>
      <c r="BKA29" s="501"/>
      <c r="BKB29" s="501"/>
      <c r="BKC29" s="501"/>
      <c r="BKD29" s="501"/>
      <c r="BKE29" s="501"/>
      <c r="BKF29" s="501"/>
      <c r="BKG29" s="501"/>
      <c r="BKH29" s="501"/>
      <c r="BKI29" s="501"/>
      <c r="BKJ29" s="501"/>
      <c r="BKK29" s="501"/>
      <c r="BKL29" s="501"/>
      <c r="BKM29" s="501"/>
      <c r="BKN29" s="501"/>
      <c r="BKO29" s="501"/>
      <c r="BKP29" s="501"/>
      <c r="BKQ29" s="501"/>
      <c r="BKR29" s="501"/>
      <c r="BKS29" s="501"/>
      <c r="BKT29" s="501"/>
      <c r="BKU29" s="501"/>
      <c r="BKV29" s="501"/>
      <c r="BKW29" s="501"/>
      <c r="BKX29" s="501"/>
      <c r="BKY29" s="501"/>
      <c r="BKZ29" s="501"/>
      <c r="BLA29" s="501"/>
      <c r="BLB29" s="501"/>
      <c r="BLC29" s="501"/>
      <c r="BLD29" s="501"/>
      <c r="BLE29" s="501"/>
      <c r="BLF29" s="501"/>
      <c r="BLG29" s="501"/>
      <c r="BLH29" s="501"/>
      <c r="BLI29" s="501"/>
      <c r="BLJ29" s="501"/>
      <c r="BLK29" s="501"/>
      <c r="BLL29" s="501"/>
      <c r="BLM29" s="501"/>
      <c r="BLN29" s="501"/>
      <c r="BLO29" s="501"/>
      <c r="BLP29" s="501"/>
      <c r="BLQ29" s="501"/>
      <c r="BLR29" s="501"/>
      <c r="BLS29" s="501"/>
      <c r="BLT29" s="501"/>
      <c r="BLU29" s="501"/>
      <c r="BLV29" s="501"/>
      <c r="BLW29" s="501"/>
      <c r="BLX29" s="501"/>
      <c r="BLY29" s="501"/>
      <c r="BLZ29" s="501"/>
      <c r="BMA29" s="501"/>
      <c r="BMB29" s="501"/>
      <c r="BMC29" s="501"/>
      <c r="BMD29" s="501"/>
      <c r="BME29" s="501"/>
      <c r="BMF29" s="501"/>
      <c r="BMG29" s="501"/>
      <c r="BMH29" s="501"/>
      <c r="BMI29" s="501"/>
      <c r="BMJ29" s="501"/>
      <c r="BMK29" s="501"/>
      <c r="BML29" s="501"/>
      <c r="BMM29" s="501"/>
      <c r="BMN29" s="501"/>
      <c r="BMO29" s="501"/>
      <c r="BMP29" s="501"/>
      <c r="BMQ29" s="501"/>
      <c r="BMR29" s="501"/>
      <c r="BMS29" s="501"/>
      <c r="BMT29" s="501"/>
      <c r="BMU29" s="501"/>
      <c r="BMV29" s="501"/>
      <c r="BMW29" s="501"/>
      <c r="BMX29" s="501"/>
      <c r="BMY29" s="501"/>
      <c r="BMZ29" s="501"/>
      <c r="BNA29" s="501"/>
      <c r="BNB29" s="501"/>
      <c r="BNC29" s="501"/>
      <c r="BND29" s="501"/>
      <c r="BNE29" s="501"/>
      <c r="BNF29" s="501"/>
      <c r="BNG29" s="501"/>
      <c r="BNH29" s="501"/>
      <c r="BNI29" s="501"/>
      <c r="BNJ29" s="501"/>
      <c r="BNK29" s="501"/>
      <c r="BNL29" s="501"/>
      <c r="BNM29" s="501"/>
      <c r="BNN29" s="501"/>
      <c r="BNO29" s="501"/>
      <c r="BNP29" s="501"/>
      <c r="BNQ29" s="501"/>
      <c r="BNR29" s="501"/>
      <c r="BNS29" s="501"/>
      <c r="BNT29" s="501"/>
      <c r="BNU29" s="501"/>
      <c r="BNV29" s="501"/>
      <c r="BNW29" s="501"/>
      <c r="BNX29" s="501"/>
      <c r="BNY29" s="501"/>
      <c r="BNZ29" s="501"/>
      <c r="BOA29" s="501"/>
      <c r="BOB29" s="501"/>
      <c r="BOC29" s="501"/>
      <c r="BOD29" s="501"/>
      <c r="BOE29" s="501"/>
      <c r="BOF29" s="501"/>
      <c r="BOG29" s="501"/>
      <c r="BOH29" s="501"/>
      <c r="BOI29" s="501"/>
      <c r="BOJ29" s="501"/>
      <c r="BOK29" s="501"/>
      <c r="BOL29" s="501"/>
      <c r="BOM29" s="501"/>
      <c r="BON29" s="501"/>
      <c r="BOO29" s="501"/>
      <c r="BOP29" s="501"/>
      <c r="BOQ29" s="501"/>
      <c r="BOR29" s="501"/>
      <c r="BOS29" s="501"/>
      <c r="BOT29" s="501"/>
      <c r="BOU29" s="501"/>
      <c r="BOV29" s="501"/>
      <c r="BOW29" s="501"/>
      <c r="BOX29" s="501"/>
      <c r="BOY29" s="501"/>
      <c r="BOZ29" s="501"/>
      <c r="BPA29" s="501"/>
      <c r="BPB29" s="501"/>
      <c r="BPC29" s="501"/>
      <c r="BPD29" s="501"/>
      <c r="BPE29" s="501"/>
      <c r="BPF29" s="501"/>
      <c r="BPG29" s="501"/>
      <c r="BPH29" s="501"/>
      <c r="BPI29" s="501"/>
      <c r="BPJ29" s="501"/>
      <c r="BPK29" s="501"/>
      <c r="BPL29" s="501"/>
      <c r="BPM29" s="501"/>
      <c r="BPN29" s="501"/>
      <c r="BPO29" s="501"/>
      <c r="BPP29" s="501"/>
      <c r="BPQ29" s="501"/>
      <c r="BPR29" s="501"/>
      <c r="BPS29" s="501"/>
      <c r="BPT29" s="501"/>
      <c r="BPU29" s="501"/>
      <c r="BPV29" s="501"/>
      <c r="BPW29" s="501"/>
      <c r="BPX29" s="501"/>
      <c r="BPY29" s="501"/>
      <c r="BPZ29" s="501"/>
      <c r="BQA29" s="501"/>
      <c r="BQB29" s="501"/>
      <c r="BQC29" s="501"/>
      <c r="BQD29" s="501"/>
      <c r="BQE29" s="501"/>
      <c r="BQF29" s="501"/>
      <c r="BQG29" s="501"/>
      <c r="BQH29" s="501"/>
      <c r="BQI29" s="501"/>
      <c r="BQJ29" s="501"/>
      <c r="BQK29" s="501"/>
      <c r="BQL29" s="501"/>
      <c r="BQM29" s="501"/>
      <c r="BQN29" s="501"/>
      <c r="BQO29" s="501"/>
      <c r="BQP29" s="501"/>
      <c r="BQQ29" s="501"/>
      <c r="BQR29" s="501"/>
      <c r="BQS29" s="501"/>
      <c r="BQT29" s="501"/>
      <c r="BQU29" s="501"/>
      <c r="BQV29" s="501"/>
      <c r="BQW29" s="501"/>
      <c r="BQX29" s="501"/>
      <c r="BQY29" s="501"/>
      <c r="BQZ29" s="501"/>
      <c r="BRA29" s="501"/>
      <c r="BRB29" s="501"/>
      <c r="BRC29" s="501"/>
      <c r="BRD29" s="501"/>
      <c r="BRE29" s="501"/>
      <c r="BRF29" s="501"/>
      <c r="BRG29" s="501"/>
      <c r="BRH29" s="501"/>
      <c r="BRI29" s="501"/>
      <c r="BRJ29" s="501"/>
      <c r="BRK29" s="501"/>
      <c r="BRL29" s="501"/>
      <c r="BRM29" s="501"/>
      <c r="BRN29" s="501"/>
      <c r="BRO29" s="501"/>
      <c r="BRP29" s="501"/>
      <c r="BRQ29" s="501"/>
      <c r="BRR29" s="501"/>
      <c r="BRS29" s="501"/>
      <c r="BRT29" s="501"/>
      <c r="BRU29" s="501"/>
      <c r="BRV29" s="501"/>
      <c r="BRW29" s="501"/>
      <c r="BRX29" s="501"/>
      <c r="BRY29" s="501"/>
      <c r="BRZ29" s="501"/>
      <c r="BSA29" s="501"/>
      <c r="BSB29" s="501"/>
      <c r="BSC29" s="501"/>
    </row>
    <row r="30" spans="1:1849" s="502" customFormat="1" ht="15" x14ac:dyDescent="0.2">
      <c r="A30" s="503">
        <v>29</v>
      </c>
      <c r="B30" s="504" t="s">
        <v>25</v>
      </c>
      <c r="C30" s="548" t="s">
        <v>455</v>
      </c>
      <c r="D30" s="504" t="s">
        <v>26</v>
      </c>
      <c r="E30" s="504" t="s">
        <v>27</v>
      </c>
      <c r="F30" s="504">
        <v>40</v>
      </c>
      <c r="G30" s="504">
        <v>20</v>
      </c>
      <c r="H30" s="504">
        <v>40</v>
      </c>
      <c r="I30" s="504">
        <v>20</v>
      </c>
      <c r="J30" s="504">
        <v>1</v>
      </c>
      <c r="K30" s="504">
        <f t="shared" si="1"/>
        <v>800</v>
      </c>
      <c r="L30" s="504" t="s">
        <v>37</v>
      </c>
      <c r="M30" s="509" t="s">
        <v>351</v>
      </c>
      <c r="N30" s="505">
        <v>21.201684</v>
      </c>
      <c r="O30" s="505">
        <v>79.077350999999993</v>
      </c>
      <c r="P30" s="506">
        <v>40000</v>
      </c>
      <c r="Q30" s="505">
        <v>50000</v>
      </c>
      <c r="R30" s="505">
        <v>90000</v>
      </c>
      <c r="S30" s="501"/>
      <c r="T30" s="501"/>
      <c r="U30" s="501"/>
      <c r="V30" s="501"/>
      <c r="W30" s="501"/>
      <c r="X30" s="501"/>
      <c r="Y30" s="501"/>
      <c r="Z30" s="501"/>
      <c r="AA30" s="501"/>
      <c r="AB30" s="501"/>
      <c r="AC30" s="501"/>
      <c r="AD30" s="501"/>
      <c r="AE30" s="501"/>
      <c r="AF30" s="501"/>
      <c r="AG30" s="501"/>
      <c r="AH30" s="501"/>
      <c r="AI30" s="501"/>
      <c r="AJ30" s="501"/>
      <c r="AK30" s="501"/>
      <c r="AL30" s="501"/>
      <c r="AM30" s="501"/>
      <c r="AN30" s="501"/>
      <c r="AO30" s="501"/>
      <c r="AP30" s="501"/>
      <c r="AQ30" s="501"/>
      <c r="AR30" s="501"/>
      <c r="AS30" s="501"/>
      <c r="AT30" s="501"/>
      <c r="AU30" s="501"/>
      <c r="AV30" s="501"/>
      <c r="AW30" s="501"/>
      <c r="AX30" s="501"/>
      <c r="AY30" s="501"/>
      <c r="AZ30" s="501"/>
      <c r="BA30" s="501"/>
      <c r="BB30" s="501"/>
      <c r="BC30" s="501"/>
      <c r="BD30" s="501"/>
      <c r="BE30" s="501"/>
      <c r="BF30" s="501"/>
      <c r="BG30" s="501"/>
      <c r="BH30" s="501"/>
      <c r="BI30" s="501"/>
      <c r="BJ30" s="501"/>
      <c r="BK30" s="501"/>
      <c r="BL30" s="501"/>
      <c r="BM30" s="501"/>
      <c r="BN30" s="501"/>
      <c r="BO30" s="501"/>
      <c r="BP30" s="501"/>
      <c r="BQ30" s="501"/>
      <c r="BR30" s="501"/>
      <c r="BS30" s="501"/>
      <c r="BT30" s="501"/>
      <c r="BU30" s="501"/>
      <c r="BV30" s="501"/>
      <c r="BW30" s="501"/>
      <c r="BX30" s="501"/>
      <c r="BY30" s="501"/>
      <c r="BZ30" s="501"/>
      <c r="CA30" s="501"/>
      <c r="CB30" s="501"/>
      <c r="CC30" s="501"/>
      <c r="CD30" s="501"/>
      <c r="CE30" s="501"/>
      <c r="CF30" s="501"/>
      <c r="CG30" s="501"/>
      <c r="CH30" s="501"/>
      <c r="CI30" s="501"/>
      <c r="CJ30" s="501"/>
      <c r="CK30" s="501"/>
      <c r="CL30" s="501"/>
      <c r="CM30" s="501"/>
      <c r="CN30" s="501"/>
      <c r="CO30" s="501"/>
      <c r="CP30" s="501"/>
      <c r="CQ30" s="501"/>
      <c r="CR30" s="501"/>
      <c r="CS30" s="501"/>
      <c r="CT30" s="501"/>
      <c r="CU30" s="501"/>
      <c r="CV30" s="501"/>
      <c r="CW30" s="501"/>
      <c r="CX30" s="501"/>
      <c r="CY30" s="501"/>
      <c r="CZ30" s="501"/>
      <c r="DA30" s="501"/>
      <c r="DB30" s="501"/>
      <c r="DC30" s="501"/>
      <c r="DD30" s="501"/>
      <c r="DE30" s="501"/>
      <c r="DF30" s="501"/>
      <c r="DG30" s="501"/>
      <c r="DH30" s="501"/>
      <c r="DI30" s="501"/>
      <c r="DJ30" s="501"/>
      <c r="DK30" s="501"/>
      <c r="DL30" s="501"/>
      <c r="DM30" s="501"/>
      <c r="DN30" s="501"/>
      <c r="DO30" s="501"/>
      <c r="DP30" s="501"/>
      <c r="DQ30" s="501"/>
      <c r="DR30" s="501"/>
      <c r="DS30" s="501"/>
      <c r="DT30" s="501"/>
      <c r="DU30" s="501"/>
      <c r="DV30" s="501"/>
      <c r="DW30" s="501"/>
      <c r="DX30" s="501"/>
      <c r="DY30" s="501"/>
      <c r="DZ30" s="501"/>
      <c r="EA30" s="501"/>
      <c r="EB30" s="501"/>
      <c r="EC30" s="501"/>
      <c r="ED30" s="501"/>
      <c r="EE30" s="501"/>
      <c r="EF30" s="501"/>
      <c r="EG30" s="501"/>
      <c r="EH30" s="501"/>
      <c r="EI30" s="501"/>
      <c r="EJ30" s="501"/>
      <c r="EK30" s="501"/>
      <c r="EL30" s="501"/>
      <c r="EM30" s="501"/>
      <c r="EN30" s="501"/>
      <c r="EO30" s="501"/>
      <c r="EP30" s="501"/>
      <c r="EQ30" s="501"/>
      <c r="ER30" s="501"/>
      <c r="ES30" s="501"/>
      <c r="ET30" s="501"/>
      <c r="EU30" s="501"/>
      <c r="EV30" s="501"/>
      <c r="EW30" s="501"/>
      <c r="EX30" s="501"/>
      <c r="EY30" s="501"/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  <c r="FX30" s="501"/>
      <c r="FY30" s="501"/>
      <c r="FZ30" s="501"/>
      <c r="GA30" s="501"/>
      <c r="GB30" s="501"/>
      <c r="GC30" s="501"/>
      <c r="GD30" s="501"/>
      <c r="GE30" s="501"/>
      <c r="GF30" s="501"/>
      <c r="GG30" s="501"/>
      <c r="GH30" s="501"/>
      <c r="GI30" s="501"/>
      <c r="GJ30" s="501"/>
      <c r="GK30" s="501"/>
      <c r="GL30" s="501"/>
      <c r="GM30" s="501"/>
      <c r="GN30" s="501"/>
      <c r="GO30" s="501"/>
      <c r="GP30" s="501"/>
      <c r="GQ30" s="501"/>
      <c r="GR30" s="501"/>
      <c r="GS30" s="501"/>
      <c r="GT30" s="501"/>
      <c r="GU30" s="501"/>
      <c r="GV30" s="501"/>
      <c r="GW30" s="501"/>
      <c r="GX30" s="501"/>
      <c r="GY30" s="501"/>
      <c r="GZ30" s="501"/>
      <c r="HA30" s="501"/>
      <c r="HB30" s="501"/>
      <c r="HC30" s="501"/>
      <c r="HD30" s="501"/>
      <c r="HE30" s="501"/>
      <c r="HF30" s="501"/>
      <c r="HG30" s="501"/>
      <c r="HH30" s="501"/>
      <c r="HI30" s="501"/>
      <c r="HJ30" s="501"/>
      <c r="HK30" s="501"/>
      <c r="HL30" s="501"/>
      <c r="HM30" s="501"/>
      <c r="HN30" s="501"/>
      <c r="HO30" s="501"/>
      <c r="HP30" s="501"/>
      <c r="HQ30" s="501"/>
      <c r="HR30" s="501"/>
      <c r="HS30" s="501"/>
      <c r="HT30" s="501"/>
      <c r="HU30" s="501"/>
      <c r="HV30" s="501"/>
      <c r="HW30" s="501"/>
      <c r="HX30" s="501"/>
      <c r="HY30" s="501"/>
      <c r="HZ30" s="501"/>
      <c r="IA30" s="501"/>
      <c r="IB30" s="501"/>
      <c r="IC30" s="501"/>
      <c r="ID30" s="501"/>
      <c r="IE30" s="501"/>
      <c r="IF30" s="501"/>
      <c r="IG30" s="501"/>
      <c r="IH30" s="501"/>
      <c r="II30" s="501"/>
      <c r="IJ30" s="501"/>
      <c r="IK30" s="501"/>
      <c r="IL30" s="501"/>
      <c r="IM30" s="501"/>
      <c r="IN30" s="501"/>
      <c r="IO30" s="501"/>
      <c r="IP30" s="501"/>
      <c r="IQ30" s="501"/>
      <c r="IR30" s="501"/>
      <c r="IS30" s="501"/>
      <c r="IT30" s="501"/>
      <c r="IU30" s="501"/>
      <c r="IV30" s="501"/>
      <c r="IW30" s="501"/>
      <c r="IX30" s="501"/>
      <c r="IY30" s="501"/>
      <c r="IZ30" s="501"/>
      <c r="JA30" s="501"/>
      <c r="JB30" s="501"/>
      <c r="JC30" s="501"/>
      <c r="JD30" s="501"/>
      <c r="JE30" s="501"/>
      <c r="JF30" s="501"/>
      <c r="JG30" s="501"/>
      <c r="JH30" s="501"/>
      <c r="JI30" s="501"/>
      <c r="JJ30" s="501"/>
      <c r="JK30" s="501"/>
      <c r="JL30" s="501"/>
      <c r="JM30" s="501"/>
      <c r="JN30" s="501"/>
      <c r="JO30" s="501"/>
      <c r="JP30" s="501"/>
      <c r="JQ30" s="501"/>
      <c r="JR30" s="501"/>
      <c r="JS30" s="501"/>
      <c r="JT30" s="501"/>
      <c r="JU30" s="501"/>
      <c r="JV30" s="501"/>
      <c r="JW30" s="501"/>
      <c r="JX30" s="501"/>
      <c r="JY30" s="501"/>
      <c r="JZ30" s="501"/>
      <c r="KA30" s="501"/>
      <c r="KB30" s="501"/>
      <c r="KC30" s="501"/>
      <c r="KD30" s="501"/>
      <c r="KE30" s="501"/>
      <c r="KF30" s="501"/>
      <c r="KG30" s="501"/>
      <c r="KH30" s="501"/>
      <c r="KI30" s="501"/>
      <c r="KJ30" s="501"/>
      <c r="KK30" s="501"/>
      <c r="KL30" s="501"/>
      <c r="KM30" s="501"/>
      <c r="KN30" s="501"/>
      <c r="KO30" s="501"/>
      <c r="KP30" s="501"/>
      <c r="KQ30" s="501"/>
      <c r="KR30" s="501"/>
      <c r="KS30" s="501"/>
      <c r="KT30" s="501"/>
      <c r="KU30" s="501"/>
      <c r="KV30" s="501"/>
      <c r="KW30" s="501"/>
      <c r="KX30" s="501"/>
      <c r="KY30" s="501"/>
      <c r="KZ30" s="501"/>
      <c r="LA30" s="501"/>
      <c r="LB30" s="501"/>
      <c r="LC30" s="501"/>
      <c r="LD30" s="501"/>
      <c r="LE30" s="501"/>
      <c r="LF30" s="501"/>
      <c r="LG30" s="501"/>
      <c r="LH30" s="501"/>
      <c r="LI30" s="501"/>
      <c r="LJ30" s="501"/>
      <c r="LK30" s="501"/>
      <c r="LL30" s="501"/>
      <c r="LM30" s="501"/>
      <c r="LN30" s="501"/>
      <c r="LO30" s="501"/>
      <c r="LP30" s="501"/>
      <c r="LQ30" s="501"/>
      <c r="LR30" s="501"/>
      <c r="LS30" s="501"/>
      <c r="LT30" s="501"/>
      <c r="LU30" s="501"/>
      <c r="LV30" s="501"/>
      <c r="LW30" s="501"/>
      <c r="LX30" s="501"/>
      <c r="LY30" s="501"/>
      <c r="LZ30" s="501"/>
      <c r="MA30" s="501"/>
      <c r="MB30" s="501"/>
      <c r="MC30" s="501"/>
      <c r="MD30" s="501"/>
      <c r="ME30" s="501"/>
      <c r="MF30" s="501"/>
      <c r="MG30" s="501"/>
      <c r="MH30" s="501"/>
      <c r="MI30" s="501"/>
      <c r="MJ30" s="501"/>
      <c r="MK30" s="501"/>
      <c r="ML30" s="501"/>
      <c r="MM30" s="501"/>
      <c r="MN30" s="501"/>
      <c r="MO30" s="501"/>
      <c r="MP30" s="501"/>
      <c r="MQ30" s="501"/>
      <c r="MR30" s="501"/>
      <c r="MS30" s="501"/>
      <c r="MT30" s="501"/>
      <c r="MU30" s="501"/>
      <c r="MV30" s="501"/>
      <c r="MW30" s="501"/>
      <c r="MX30" s="501"/>
      <c r="MY30" s="501"/>
      <c r="MZ30" s="501"/>
      <c r="NA30" s="501"/>
      <c r="NB30" s="501"/>
      <c r="NC30" s="501"/>
      <c r="ND30" s="501"/>
      <c r="NE30" s="501"/>
      <c r="NF30" s="501"/>
      <c r="NG30" s="501"/>
      <c r="NH30" s="501"/>
      <c r="NI30" s="501"/>
      <c r="NJ30" s="501"/>
      <c r="NK30" s="501"/>
      <c r="NL30" s="501"/>
      <c r="NM30" s="501"/>
      <c r="NN30" s="501"/>
      <c r="NO30" s="501"/>
      <c r="NP30" s="501"/>
      <c r="NQ30" s="501"/>
      <c r="NR30" s="501"/>
      <c r="NS30" s="501"/>
      <c r="NT30" s="501"/>
      <c r="NU30" s="501"/>
      <c r="NV30" s="501"/>
      <c r="NW30" s="501"/>
      <c r="NX30" s="501"/>
      <c r="NY30" s="501"/>
      <c r="NZ30" s="501"/>
      <c r="OA30" s="501"/>
      <c r="OB30" s="501"/>
      <c r="OC30" s="501"/>
      <c r="OD30" s="501"/>
      <c r="OE30" s="501"/>
      <c r="OF30" s="501"/>
      <c r="OG30" s="501"/>
      <c r="OH30" s="501"/>
      <c r="OI30" s="501"/>
      <c r="OJ30" s="501"/>
      <c r="OK30" s="501"/>
      <c r="OL30" s="501"/>
      <c r="OM30" s="501"/>
      <c r="ON30" s="501"/>
      <c r="OO30" s="501"/>
      <c r="OP30" s="501"/>
      <c r="OQ30" s="501"/>
      <c r="OR30" s="501"/>
      <c r="OS30" s="501"/>
      <c r="OT30" s="501"/>
      <c r="OU30" s="501"/>
      <c r="OV30" s="501"/>
      <c r="OW30" s="501"/>
      <c r="OX30" s="501"/>
      <c r="OY30" s="501"/>
      <c r="OZ30" s="501"/>
      <c r="PA30" s="501"/>
      <c r="PB30" s="501"/>
      <c r="PC30" s="501"/>
      <c r="PD30" s="501"/>
      <c r="PE30" s="501"/>
      <c r="PF30" s="501"/>
      <c r="PG30" s="501"/>
      <c r="PH30" s="501"/>
      <c r="PI30" s="501"/>
      <c r="PJ30" s="501"/>
      <c r="PK30" s="501"/>
      <c r="PL30" s="501"/>
      <c r="PM30" s="501"/>
      <c r="PN30" s="501"/>
      <c r="PO30" s="501"/>
      <c r="PP30" s="501"/>
      <c r="PQ30" s="501"/>
      <c r="PR30" s="501"/>
      <c r="PS30" s="501"/>
      <c r="PT30" s="501"/>
      <c r="PU30" s="501"/>
      <c r="PV30" s="501"/>
      <c r="PW30" s="501"/>
      <c r="PX30" s="501"/>
      <c r="PY30" s="501"/>
      <c r="PZ30" s="501"/>
      <c r="QA30" s="501"/>
      <c r="QB30" s="501"/>
      <c r="QC30" s="501"/>
      <c r="QD30" s="501"/>
      <c r="QE30" s="501"/>
      <c r="QF30" s="501"/>
      <c r="QG30" s="501"/>
      <c r="QH30" s="501"/>
      <c r="QI30" s="501"/>
      <c r="QJ30" s="501"/>
      <c r="QK30" s="501"/>
      <c r="QL30" s="501"/>
      <c r="QM30" s="501"/>
      <c r="QN30" s="501"/>
      <c r="QO30" s="501"/>
      <c r="QP30" s="501"/>
      <c r="QQ30" s="501"/>
      <c r="QR30" s="501"/>
      <c r="QS30" s="501"/>
      <c r="QT30" s="501"/>
      <c r="QU30" s="501"/>
      <c r="QV30" s="501"/>
      <c r="QW30" s="501"/>
      <c r="QX30" s="501"/>
      <c r="QY30" s="501"/>
      <c r="QZ30" s="501"/>
      <c r="RA30" s="501"/>
      <c r="RB30" s="501"/>
      <c r="RC30" s="501"/>
      <c r="RD30" s="501"/>
      <c r="RE30" s="501"/>
      <c r="RF30" s="501"/>
      <c r="RG30" s="501"/>
      <c r="RH30" s="501"/>
      <c r="RI30" s="501"/>
      <c r="RJ30" s="501"/>
      <c r="RK30" s="501"/>
      <c r="RL30" s="501"/>
      <c r="RM30" s="501"/>
      <c r="RN30" s="501"/>
      <c r="RO30" s="501"/>
      <c r="RP30" s="501"/>
      <c r="RQ30" s="501"/>
      <c r="RR30" s="501"/>
      <c r="RS30" s="501"/>
      <c r="RT30" s="501"/>
      <c r="RU30" s="501"/>
      <c r="RV30" s="501"/>
      <c r="RW30" s="501"/>
      <c r="RX30" s="501"/>
      <c r="RY30" s="501"/>
      <c r="RZ30" s="501"/>
      <c r="SA30" s="501"/>
      <c r="SB30" s="501"/>
      <c r="SC30" s="501"/>
      <c r="SD30" s="501"/>
      <c r="SE30" s="501"/>
      <c r="SF30" s="501"/>
      <c r="SG30" s="501"/>
      <c r="SH30" s="501"/>
      <c r="SI30" s="501"/>
      <c r="SJ30" s="501"/>
      <c r="SK30" s="501"/>
      <c r="SL30" s="501"/>
      <c r="SM30" s="501"/>
      <c r="SN30" s="501"/>
      <c r="SO30" s="501"/>
      <c r="SP30" s="501"/>
      <c r="SQ30" s="501"/>
      <c r="SR30" s="501"/>
      <c r="SS30" s="501"/>
      <c r="ST30" s="501"/>
      <c r="SU30" s="501"/>
      <c r="SV30" s="501"/>
      <c r="SW30" s="501"/>
      <c r="SX30" s="501"/>
      <c r="SY30" s="501"/>
      <c r="SZ30" s="501"/>
      <c r="TA30" s="501"/>
      <c r="TB30" s="501"/>
      <c r="TC30" s="501"/>
      <c r="TD30" s="501"/>
      <c r="TE30" s="501"/>
      <c r="TF30" s="501"/>
      <c r="TG30" s="501"/>
      <c r="TH30" s="501"/>
      <c r="TI30" s="501"/>
      <c r="TJ30" s="501"/>
      <c r="TK30" s="501"/>
      <c r="TL30" s="501"/>
      <c r="TM30" s="501"/>
      <c r="TN30" s="501"/>
      <c r="TO30" s="501"/>
      <c r="TP30" s="501"/>
      <c r="TQ30" s="501"/>
      <c r="TR30" s="501"/>
      <c r="TS30" s="501"/>
      <c r="TT30" s="501"/>
      <c r="TU30" s="501"/>
      <c r="TV30" s="501"/>
      <c r="TW30" s="501"/>
      <c r="TX30" s="501"/>
      <c r="TY30" s="501"/>
      <c r="TZ30" s="501"/>
      <c r="UA30" s="501"/>
      <c r="UB30" s="501"/>
      <c r="UC30" s="501"/>
      <c r="UD30" s="501"/>
      <c r="UE30" s="501"/>
      <c r="UF30" s="501"/>
      <c r="UG30" s="501"/>
      <c r="UH30" s="501"/>
      <c r="UI30" s="501"/>
      <c r="UJ30" s="501"/>
      <c r="UK30" s="501"/>
      <c r="UL30" s="501"/>
      <c r="UM30" s="501"/>
      <c r="UN30" s="501"/>
      <c r="UO30" s="501"/>
      <c r="UP30" s="501"/>
      <c r="UQ30" s="501"/>
      <c r="UR30" s="501"/>
      <c r="US30" s="501"/>
      <c r="UT30" s="501"/>
      <c r="UU30" s="501"/>
      <c r="UV30" s="501"/>
      <c r="UW30" s="501"/>
      <c r="UX30" s="501"/>
      <c r="UY30" s="501"/>
      <c r="UZ30" s="501"/>
      <c r="VA30" s="501"/>
      <c r="VB30" s="501"/>
      <c r="VC30" s="501"/>
      <c r="VD30" s="501"/>
      <c r="VE30" s="501"/>
      <c r="VF30" s="501"/>
      <c r="VG30" s="501"/>
      <c r="VH30" s="501"/>
      <c r="VI30" s="501"/>
      <c r="VJ30" s="501"/>
      <c r="VK30" s="501"/>
      <c r="VL30" s="501"/>
      <c r="VM30" s="501"/>
      <c r="VN30" s="501"/>
      <c r="VO30" s="501"/>
      <c r="VP30" s="501"/>
      <c r="VQ30" s="501"/>
      <c r="VR30" s="501"/>
      <c r="VS30" s="501"/>
      <c r="VT30" s="501"/>
      <c r="VU30" s="501"/>
      <c r="VV30" s="501"/>
      <c r="VW30" s="501"/>
      <c r="VX30" s="501"/>
      <c r="VY30" s="501"/>
      <c r="VZ30" s="501"/>
      <c r="WA30" s="501"/>
      <c r="WB30" s="501"/>
      <c r="WC30" s="501"/>
      <c r="WD30" s="501"/>
      <c r="WE30" s="501"/>
      <c r="WF30" s="501"/>
      <c r="WG30" s="501"/>
      <c r="WH30" s="501"/>
      <c r="WI30" s="501"/>
      <c r="WJ30" s="501"/>
      <c r="WK30" s="501"/>
      <c r="WL30" s="501"/>
      <c r="WM30" s="501"/>
      <c r="WN30" s="501"/>
      <c r="WO30" s="501"/>
      <c r="WP30" s="501"/>
      <c r="WQ30" s="501"/>
      <c r="WR30" s="501"/>
      <c r="WS30" s="501"/>
      <c r="WT30" s="501"/>
      <c r="WU30" s="501"/>
      <c r="WV30" s="501"/>
      <c r="WW30" s="501"/>
      <c r="WX30" s="501"/>
      <c r="WY30" s="501"/>
      <c r="WZ30" s="501"/>
      <c r="XA30" s="501"/>
      <c r="XB30" s="501"/>
      <c r="XC30" s="501"/>
      <c r="XD30" s="501"/>
      <c r="XE30" s="501"/>
      <c r="XF30" s="501"/>
      <c r="XG30" s="501"/>
      <c r="XH30" s="501"/>
      <c r="XI30" s="501"/>
      <c r="XJ30" s="501"/>
      <c r="XK30" s="501"/>
      <c r="XL30" s="501"/>
      <c r="XM30" s="501"/>
      <c r="XN30" s="501"/>
      <c r="XO30" s="501"/>
      <c r="XP30" s="501"/>
      <c r="XQ30" s="501"/>
      <c r="XR30" s="501"/>
      <c r="XS30" s="501"/>
      <c r="XT30" s="501"/>
      <c r="XU30" s="501"/>
      <c r="XV30" s="501"/>
      <c r="XW30" s="501"/>
      <c r="XX30" s="501"/>
      <c r="XY30" s="501"/>
      <c r="XZ30" s="501"/>
      <c r="YA30" s="501"/>
      <c r="YB30" s="501"/>
      <c r="YC30" s="501"/>
      <c r="YD30" s="501"/>
      <c r="YE30" s="501"/>
      <c r="YF30" s="501"/>
      <c r="YG30" s="501"/>
      <c r="YH30" s="501"/>
      <c r="YI30" s="501"/>
      <c r="YJ30" s="501"/>
      <c r="YK30" s="501"/>
      <c r="YL30" s="501"/>
      <c r="YM30" s="501"/>
      <c r="YN30" s="501"/>
      <c r="YO30" s="501"/>
      <c r="YP30" s="501"/>
      <c r="YQ30" s="501"/>
      <c r="YR30" s="501"/>
      <c r="YS30" s="501"/>
      <c r="YT30" s="501"/>
      <c r="YU30" s="501"/>
      <c r="YV30" s="501"/>
      <c r="YW30" s="501"/>
      <c r="YX30" s="501"/>
      <c r="YY30" s="501"/>
      <c r="YZ30" s="501"/>
      <c r="ZA30" s="501"/>
      <c r="ZB30" s="501"/>
      <c r="ZC30" s="501"/>
      <c r="ZD30" s="501"/>
      <c r="ZE30" s="501"/>
      <c r="ZF30" s="501"/>
      <c r="ZG30" s="501"/>
      <c r="ZH30" s="501"/>
      <c r="ZI30" s="501"/>
      <c r="ZJ30" s="501"/>
      <c r="ZK30" s="501"/>
      <c r="ZL30" s="501"/>
      <c r="ZM30" s="501"/>
      <c r="ZN30" s="501"/>
      <c r="ZO30" s="501"/>
      <c r="ZP30" s="501"/>
      <c r="ZQ30" s="501"/>
      <c r="ZR30" s="501"/>
      <c r="ZS30" s="501"/>
      <c r="ZT30" s="501"/>
      <c r="ZU30" s="501"/>
      <c r="ZV30" s="501"/>
      <c r="ZW30" s="501"/>
      <c r="ZX30" s="501"/>
      <c r="ZY30" s="501"/>
      <c r="ZZ30" s="501"/>
      <c r="AAA30" s="501"/>
      <c r="AAB30" s="501"/>
      <c r="AAC30" s="501"/>
      <c r="AAD30" s="501"/>
      <c r="AAE30" s="501"/>
      <c r="AAF30" s="501"/>
      <c r="AAG30" s="501"/>
      <c r="AAH30" s="501"/>
      <c r="AAI30" s="501"/>
      <c r="AAJ30" s="501"/>
      <c r="AAK30" s="501"/>
      <c r="AAL30" s="501"/>
      <c r="AAM30" s="501"/>
      <c r="AAN30" s="501"/>
      <c r="AAO30" s="501"/>
      <c r="AAP30" s="501"/>
      <c r="AAQ30" s="501"/>
      <c r="AAR30" s="501"/>
      <c r="AAS30" s="501"/>
      <c r="AAT30" s="501"/>
      <c r="AAU30" s="501"/>
      <c r="AAV30" s="501"/>
      <c r="AAW30" s="501"/>
      <c r="AAX30" s="501"/>
      <c r="AAY30" s="501"/>
      <c r="AAZ30" s="501"/>
      <c r="ABA30" s="501"/>
      <c r="ABB30" s="501"/>
      <c r="ABC30" s="501"/>
      <c r="ABD30" s="501"/>
      <c r="ABE30" s="501"/>
      <c r="ABF30" s="501"/>
      <c r="ABG30" s="501"/>
      <c r="ABH30" s="501"/>
      <c r="ABI30" s="501"/>
      <c r="ABJ30" s="501"/>
      <c r="ABK30" s="501"/>
      <c r="ABL30" s="501"/>
      <c r="ABM30" s="501"/>
      <c r="ABN30" s="501"/>
      <c r="ABO30" s="501"/>
      <c r="ABP30" s="501"/>
      <c r="ABQ30" s="501"/>
      <c r="ABR30" s="501"/>
      <c r="ABS30" s="501"/>
      <c r="ABT30" s="501"/>
      <c r="ABU30" s="501"/>
      <c r="ABV30" s="501"/>
      <c r="ABW30" s="501"/>
      <c r="ABX30" s="501"/>
      <c r="ABY30" s="501"/>
      <c r="ABZ30" s="501"/>
      <c r="ACA30" s="501"/>
      <c r="ACB30" s="501"/>
      <c r="ACC30" s="501"/>
      <c r="ACD30" s="501"/>
      <c r="ACE30" s="501"/>
      <c r="ACF30" s="501"/>
      <c r="ACG30" s="501"/>
      <c r="ACH30" s="501"/>
      <c r="ACI30" s="501"/>
      <c r="ACJ30" s="501"/>
      <c r="ACK30" s="501"/>
      <c r="ACL30" s="501"/>
      <c r="ACM30" s="501"/>
      <c r="ACN30" s="501"/>
      <c r="ACO30" s="501"/>
      <c r="ACP30" s="501"/>
      <c r="ACQ30" s="501"/>
      <c r="ACR30" s="501"/>
      <c r="ACS30" s="501"/>
      <c r="ACT30" s="501"/>
      <c r="ACU30" s="501"/>
      <c r="ACV30" s="501"/>
      <c r="ACW30" s="501"/>
      <c r="ACX30" s="501"/>
      <c r="ACY30" s="501"/>
      <c r="ACZ30" s="501"/>
      <c r="ADA30" s="501"/>
      <c r="ADB30" s="501"/>
      <c r="ADC30" s="501"/>
      <c r="ADD30" s="501"/>
      <c r="ADE30" s="501"/>
      <c r="ADF30" s="501"/>
      <c r="ADG30" s="501"/>
      <c r="ADH30" s="501"/>
      <c r="ADI30" s="501"/>
      <c r="ADJ30" s="501"/>
      <c r="ADK30" s="501"/>
      <c r="ADL30" s="501"/>
      <c r="ADM30" s="501"/>
      <c r="ADN30" s="501"/>
      <c r="ADO30" s="501"/>
      <c r="ADP30" s="501"/>
      <c r="ADQ30" s="501"/>
      <c r="ADR30" s="501"/>
      <c r="ADS30" s="501"/>
      <c r="ADT30" s="501"/>
      <c r="ADU30" s="501"/>
      <c r="ADV30" s="501"/>
      <c r="ADW30" s="501"/>
      <c r="ADX30" s="501"/>
      <c r="ADY30" s="501"/>
      <c r="ADZ30" s="501"/>
      <c r="AEA30" s="501"/>
      <c r="AEB30" s="501"/>
      <c r="AEC30" s="501"/>
      <c r="AED30" s="501"/>
      <c r="AEE30" s="501"/>
      <c r="AEF30" s="501"/>
      <c r="AEG30" s="501"/>
      <c r="AEH30" s="501"/>
      <c r="AEI30" s="501"/>
      <c r="AEJ30" s="501"/>
      <c r="AEK30" s="501"/>
      <c r="AEL30" s="501"/>
      <c r="AEM30" s="501"/>
      <c r="AEN30" s="501"/>
      <c r="AEO30" s="501"/>
      <c r="AEP30" s="501"/>
      <c r="AEQ30" s="501"/>
      <c r="AER30" s="501"/>
      <c r="AES30" s="501"/>
      <c r="AET30" s="501"/>
      <c r="AEU30" s="501"/>
      <c r="AEV30" s="501"/>
      <c r="AEW30" s="501"/>
      <c r="AEX30" s="501"/>
      <c r="AEY30" s="501"/>
      <c r="AEZ30" s="501"/>
      <c r="AFA30" s="501"/>
      <c r="AFB30" s="501"/>
      <c r="AFC30" s="501"/>
      <c r="AFD30" s="501"/>
      <c r="AFE30" s="501"/>
      <c r="AFF30" s="501"/>
      <c r="AFG30" s="501"/>
      <c r="AFH30" s="501"/>
      <c r="AFI30" s="501"/>
      <c r="AFJ30" s="501"/>
      <c r="AFK30" s="501"/>
      <c r="AFL30" s="501"/>
      <c r="AFM30" s="501"/>
      <c r="AFN30" s="501"/>
      <c r="AFO30" s="501"/>
      <c r="AFP30" s="501"/>
      <c r="AFQ30" s="501"/>
      <c r="AFR30" s="501"/>
      <c r="AFS30" s="501"/>
      <c r="AFT30" s="501"/>
      <c r="AFU30" s="501"/>
      <c r="AFV30" s="501"/>
      <c r="AFW30" s="501"/>
      <c r="AFX30" s="501"/>
      <c r="AFY30" s="501"/>
      <c r="AFZ30" s="501"/>
      <c r="AGA30" s="501"/>
      <c r="AGB30" s="501"/>
      <c r="AGC30" s="501"/>
      <c r="AGD30" s="501"/>
      <c r="AGE30" s="501"/>
      <c r="AGF30" s="501"/>
      <c r="AGG30" s="501"/>
      <c r="AGH30" s="501"/>
      <c r="AGI30" s="501"/>
      <c r="AGJ30" s="501"/>
      <c r="AGK30" s="501"/>
      <c r="AGL30" s="501"/>
      <c r="AGM30" s="501"/>
      <c r="AGN30" s="501"/>
      <c r="AGO30" s="501"/>
      <c r="AGP30" s="501"/>
      <c r="AGQ30" s="501"/>
      <c r="AGR30" s="501"/>
      <c r="AGS30" s="501"/>
      <c r="AGT30" s="501"/>
      <c r="AGU30" s="501"/>
      <c r="AGV30" s="501"/>
      <c r="AGW30" s="501"/>
      <c r="AGX30" s="501"/>
      <c r="AGY30" s="501"/>
      <c r="AGZ30" s="501"/>
      <c r="AHA30" s="501"/>
      <c r="AHB30" s="501"/>
      <c r="AHC30" s="501"/>
      <c r="AHD30" s="501"/>
      <c r="AHE30" s="501"/>
      <c r="AHF30" s="501"/>
      <c r="AHG30" s="501"/>
      <c r="AHH30" s="501"/>
      <c r="AHI30" s="501"/>
      <c r="AHJ30" s="501"/>
      <c r="AHK30" s="501"/>
      <c r="AHL30" s="501"/>
      <c r="AHM30" s="501"/>
      <c r="AHN30" s="501"/>
      <c r="AHO30" s="501"/>
      <c r="AHP30" s="501"/>
      <c r="AHQ30" s="501"/>
      <c r="AHR30" s="501"/>
      <c r="AHS30" s="501"/>
      <c r="AHT30" s="501"/>
      <c r="AHU30" s="501"/>
      <c r="AHV30" s="501"/>
      <c r="AHW30" s="501"/>
      <c r="AHX30" s="501"/>
      <c r="AHY30" s="501"/>
      <c r="AHZ30" s="501"/>
      <c r="AIA30" s="501"/>
      <c r="AIB30" s="501"/>
      <c r="AIC30" s="501"/>
      <c r="AID30" s="501"/>
      <c r="AIE30" s="501"/>
      <c r="AIF30" s="501"/>
      <c r="AIG30" s="501"/>
      <c r="AIH30" s="501"/>
      <c r="AII30" s="501"/>
      <c r="AIJ30" s="501"/>
      <c r="AIK30" s="501"/>
      <c r="AIL30" s="501"/>
      <c r="AIM30" s="501"/>
      <c r="AIN30" s="501"/>
      <c r="AIO30" s="501"/>
      <c r="AIP30" s="501"/>
      <c r="AIQ30" s="501"/>
      <c r="AIR30" s="501"/>
      <c r="AIS30" s="501"/>
      <c r="AIT30" s="501"/>
      <c r="AIU30" s="501"/>
      <c r="AIV30" s="501"/>
      <c r="AIW30" s="501"/>
      <c r="AIX30" s="501"/>
      <c r="AIY30" s="501"/>
      <c r="AIZ30" s="501"/>
      <c r="AJA30" s="501"/>
      <c r="AJB30" s="501"/>
      <c r="AJC30" s="501"/>
      <c r="AJD30" s="501"/>
      <c r="AJE30" s="501"/>
      <c r="AJF30" s="501"/>
      <c r="AJG30" s="501"/>
      <c r="AJH30" s="501"/>
      <c r="AJI30" s="501"/>
      <c r="AJJ30" s="501"/>
      <c r="AJK30" s="501"/>
      <c r="AJL30" s="501"/>
      <c r="AJM30" s="501"/>
      <c r="AJN30" s="501"/>
      <c r="AJO30" s="501"/>
      <c r="AJP30" s="501"/>
      <c r="AJQ30" s="501"/>
      <c r="AJR30" s="501"/>
      <c r="AJS30" s="501"/>
      <c r="AJT30" s="501"/>
      <c r="AJU30" s="501"/>
      <c r="AJV30" s="501"/>
      <c r="AJW30" s="501"/>
      <c r="AJX30" s="501"/>
      <c r="AJY30" s="501"/>
      <c r="AJZ30" s="501"/>
      <c r="AKA30" s="501"/>
      <c r="AKB30" s="501"/>
      <c r="AKC30" s="501"/>
      <c r="AKD30" s="501"/>
      <c r="AKE30" s="501"/>
      <c r="AKF30" s="501"/>
      <c r="AKG30" s="501"/>
      <c r="AKH30" s="501"/>
      <c r="AKI30" s="501"/>
      <c r="AKJ30" s="501"/>
      <c r="AKK30" s="501"/>
      <c r="AKL30" s="501"/>
      <c r="AKM30" s="501"/>
      <c r="AKN30" s="501"/>
      <c r="AKO30" s="501"/>
      <c r="AKP30" s="501"/>
      <c r="AKQ30" s="501"/>
      <c r="AKR30" s="501"/>
      <c r="AKS30" s="501"/>
      <c r="AKT30" s="501"/>
      <c r="AKU30" s="501"/>
      <c r="AKV30" s="501"/>
      <c r="AKW30" s="501"/>
      <c r="AKX30" s="501"/>
      <c r="AKY30" s="501"/>
      <c r="AKZ30" s="501"/>
      <c r="ALA30" s="501"/>
      <c r="ALB30" s="501"/>
      <c r="ALC30" s="501"/>
      <c r="ALD30" s="501"/>
      <c r="ALE30" s="501"/>
      <c r="ALF30" s="501"/>
      <c r="ALG30" s="501"/>
      <c r="ALH30" s="501"/>
      <c r="ALI30" s="501"/>
      <c r="ALJ30" s="501"/>
      <c r="ALK30" s="501"/>
      <c r="ALL30" s="501"/>
      <c r="ALM30" s="501"/>
      <c r="ALN30" s="501"/>
      <c r="ALO30" s="501"/>
      <c r="ALP30" s="501"/>
      <c r="ALQ30" s="501"/>
      <c r="ALR30" s="501"/>
      <c r="ALS30" s="501"/>
      <c r="ALT30" s="501"/>
      <c r="ALU30" s="501"/>
      <c r="ALV30" s="501"/>
      <c r="ALW30" s="501"/>
      <c r="ALX30" s="501"/>
      <c r="ALY30" s="501"/>
      <c r="ALZ30" s="501"/>
      <c r="AMA30" s="501"/>
      <c r="AMB30" s="501"/>
      <c r="AMC30" s="501"/>
      <c r="AMD30" s="501"/>
      <c r="AME30" s="501"/>
      <c r="AMF30" s="501"/>
      <c r="AMG30" s="501"/>
      <c r="AMH30" s="501"/>
      <c r="AMI30" s="501"/>
      <c r="AMJ30" s="501"/>
      <c r="AMK30" s="501"/>
      <c r="AML30" s="501"/>
      <c r="AMM30" s="501"/>
      <c r="AMN30" s="501"/>
      <c r="AMO30" s="501"/>
      <c r="AMP30" s="501"/>
      <c r="AMQ30" s="501"/>
      <c r="AMR30" s="501"/>
      <c r="AMS30" s="501"/>
      <c r="AMT30" s="501"/>
      <c r="AMU30" s="501"/>
      <c r="AMV30" s="501"/>
      <c r="AMW30" s="501"/>
      <c r="AMX30" s="501"/>
      <c r="AMY30" s="501"/>
      <c r="AMZ30" s="501"/>
      <c r="ANA30" s="501"/>
      <c r="ANB30" s="501"/>
      <c r="ANC30" s="501"/>
      <c r="AND30" s="501"/>
      <c r="ANE30" s="501"/>
      <c r="ANF30" s="501"/>
      <c r="ANG30" s="501"/>
      <c r="ANH30" s="501"/>
      <c r="ANI30" s="501"/>
      <c r="ANJ30" s="501"/>
      <c r="ANK30" s="501"/>
      <c r="ANL30" s="501"/>
      <c r="ANM30" s="501"/>
      <c r="ANN30" s="501"/>
      <c r="ANO30" s="501"/>
      <c r="ANP30" s="501"/>
      <c r="ANQ30" s="501"/>
      <c r="ANR30" s="501"/>
      <c r="ANS30" s="501"/>
      <c r="ANT30" s="501"/>
      <c r="ANU30" s="501"/>
      <c r="ANV30" s="501"/>
      <c r="ANW30" s="501"/>
      <c r="ANX30" s="501"/>
      <c r="ANY30" s="501"/>
      <c r="ANZ30" s="501"/>
      <c r="AOA30" s="501"/>
      <c r="AOB30" s="501"/>
      <c r="AOC30" s="501"/>
      <c r="AOD30" s="501"/>
      <c r="AOE30" s="501"/>
      <c r="AOF30" s="501"/>
      <c r="AOG30" s="501"/>
      <c r="AOH30" s="501"/>
      <c r="AOI30" s="501"/>
      <c r="AOJ30" s="501"/>
      <c r="AOK30" s="501"/>
      <c r="AOL30" s="501"/>
      <c r="AOM30" s="501"/>
      <c r="AON30" s="501"/>
      <c r="AOO30" s="501"/>
      <c r="AOP30" s="501"/>
      <c r="AOQ30" s="501"/>
      <c r="AOR30" s="501"/>
      <c r="AOS30" s="501"/>
      <c r="AOT30" s="501"/>
      <c r="AOU30" s="501"/>
      <c r="AOV30" s="501"/>
      <c r="AOW30" s="501"/>
      <c r="AOX30" s="501"/>
      <c r="AOY30" s="501"/>
      <c r="AOZ30" s="501"/>
      <c r="APA30" s="501"/>
      <c r="APB30" s="501"/>
      <c r="APC30" s="501"/>
      <c r="APD30" s="501"/>
      <c r="APE30" s="501"/>
      <c r="APF30" s="501"/>
      <c r="APG30" s="501"/>
      <c r="APH30" s="501"/>
      <c r="API30" s="501"/>
      <c r="APJ30" s="501"/>
      <c r="APK30" s="501"/>
      <c r="APL30" s="501"/>
      <c r="APM30" s="501"/>
      <c r="APN30" s="501"/>
      <c r="APO30" s="501"/>
      <c r="APP30" s="501"/>
      <c r="APQ30" s="501"/>
      <c r="APR30" s="501"/>
      <c r="APS30" s="501"/>
      <c r="APT30" s="501"/>
      <c r="APU30" s="501"/>
      <c r="APV30" s="501"/>
      <c r="APW30" s="501"/>
      <c r="APX30" s="501"/>
      <c r="APY30" s="501"/>
      <c r="APZ30" s="501"/>
      <c r="AQA30" s="501"/>
      <c r="AQB30" s="501"/>
      <c r="AQC30" s="501"/>
      <c r="AQD30" s="501"/>
      <c r="AQE30" s="501"/>
      <c r="AQF30" s="501"/>
      <c r="AQG30" s="501"/>
      <c r="AQH30" s="501"/>
      <c r="AQI30" s="501"/>
      <c r="AQJ30" s="501"/>
      <c r="AQK30" s="501"/>
      <c r="AQL30" s="501"/>
      <c r="AQM30" s="501"/>
      <c r="AQN30" s="501"/>
      <c r="AQO30" s="501"/>
      <c r="AQP30" s="501"/>
      <c r="AQQ30" s="501"/>
      <c r="AQR30" s="501"/>
      <c r="AQS30" s="501"/>
      <c r="AQT30" s="501"/>
      <c r="AQU30" s="501"/>
      <c r="AQV30" s="501"/>
      <c r="AQW30" s="501"/>
      <c r="AQX30" s="501"/>
      <c r="AQY30" s="501"/>
      <c r="AQZ30" s="501"/>
      <c r="ARA30" s="501"/>
      <c r="ARB30" s="501"/>
      <c r="ARC30" s="501"/>
      <c r="ARD30" s="501"/>
      <c r="ARE30" s="501"/>
      <c r="ARF30" s="501"/>
      <c r="ARG30" s="501"/>
      <c r="ARH30" s="501"/>
      <c r="ARI30" s="501"/>
      <c r="ARJ30" s="501"/>
      <c r="ARK30" s="501"/>
      <c r="ARL30" s="501"/>
      <c r="ARM30" s="501"/>
      <c r="ARN30" s="501"/>
      <c r="ARO30" s="501"/>
      <c r="ARP30" s="501"/>
      <c r="ARQ30" s="501"/>
      <c r="ARR30" s="501"/>
      <c r="ARS30" s="501"/>
      <c r="ART30" s="501"/>
      <c r="ARU30" s="501"/>
      <c r="ARV30" s="501"/>
      <c r="ARW30" s="501"/>
      <c r="ARX30" s="501"/>
      <c r="ARY30" s="501"/>
      <c r="ARZ30" s="501"/>
      <c r="ASA30" s="501"/>
      <c r="ASB30" s="501"/>
      <c r="ASC30" s="501"/>
      <c r="ASD30" s="501"/>
      <c r="ASE30" s="501"/>
      <c r="ASF30" s="501"/>
      <c r="ASG30" s="501"/>
      <c r="ASH30" s="501"/>
      <c r="ASI30" s="501"/>
      <c r="ASJ30" s="501"/>
      <c r="ASK30" s="501"/>
      <c r="ASL30" s="501"/>
      <c r="ASM30" s="501"/>
      <c r="ASN30" s="501"/>
      <c r="ASO30" s="501"/>
      <c r="ASP30" s="501"/>
      <c r="ASQ30" s="501"/>
      <c r="ASR30" s="501"/>
      <c r="ASS30" s="501"/>
      <c r="AST30" s="501"/>
      <c r="ASU30" s="501"/>
      <c r="ASV30" s="501"/>
      <c r="ASW30" s="501"/>
      <c r="ASX30" s="501"/>
      <c r="ASY30" s="501"/>
      <c r="ASZ30" s="501"/>
      <c r="ATA30" s="501"/>
      <c r="ATB30" s="501"/>
      <c r="ATC30" s="501"/>
      <c r="ATD30" s="501"/>
      <c r="ATE30" s="501"/>
      <c r="ATF30" s="501"/>
      <c r="ATG30" s="501"/>
      <c r="ATH30" s="501"/>
      <c r="ATI30" s="501"/>
      <c r="ATJ30" s="501"/>
      <c r="ATK30" s="501"/>
      <c r="ATL30" s="501"/>
      <c r="ATM30" s="501"/>
      <c r="ATN30" s="501"/>
      <c r="ATO30" s="501"/>
      <c r="ATP30" s="501"/>
      <c r="ATQ30" s="501"/>
      <c r="ATR30" s="501"/>
      <c r="ATS30" s="501"/>
      <c r="ATT30" s="501"/>
      <c r="ATU30" s="501"/>
      <c r="ATV30" s="501"/>
      <c r="ATW30" s="501"/>
      <c r="ATX30" s="501"/>
      <c r="ATY30" s="501"/>
      <c r="ATZ30" s="501"/>
      <c r="AUA30" s="501"/>
      <c r="AUB30" s="501"/>
      <c r="AUC30" s="501"/>
      <c r="AUD30" s="501"/>
      <c r="AUE30" s="501"/>
      <c r="AUF30" s="501"/>
      <c r="AUG30" s="501"/>
      <c r="AUH30" s="501"/>
      <c r="AUI30" s="501"/>
      <c r="AUJ30" s="501"/>
      <c r="AUK30" s="501"/>
      <c r="AUL30" s="501"/>
      <c r="AUM30" s="501"/>
      <c r="AUN30" s="501"/>
      <c r="AUO30" s="501"/>
      <c r="AUP30" s="501"/>
      <c r="AUQ30" s="501"/>
      <c r="AUR30" s="501"/>
      <c r="AUS30" s="501"/>
      <c r="AUT30" s="501"/>
      <c r="AUU30" s="501"/>
      <c r="AUV30" s="501"/>
      <c r="AUW30" s="501"/>
      <c r="AUX30" s="501"/>
      <c r="AUY30" s="501"/>
      <c r="AUZ30" s="501"/>
      <c r="AVA30" s="501"/>
      <c r="AVB30" s="501"/>
      <c r="AVC30" s="501"/>
      <c r="AVD30" s="501"/>
      <c r="AVE30" s="501"/>
      <c r="AVF30" s="501"/>
      <c r="AVG30" s="501"/>
      <c r="AVH30" s="501"/>
      <c r="AVI30" s="501"/>
      <c r="AVJ30" s="501"/>
      <c r="AVK30" s="501"/>
      <c r="AVL30" s="501"/>
      <c r="AVM30" s="501"/>
      <c r="AVN30" s="501"/>
      <c r="AVO30" s="501"/>
      <c r="AVP30" s="501"/>
      <c r="AVQ30" s="501"/>
      <c r="AVR30" s="501"/>
      <c r="AVS30" s="501"/>
      <c r="AVT30" s="501"/>
      <c r="AVU30" s="501"/>
      <c r="AVV30" s="501"/>
      <c r="AVW30" s="501"/>
      <c r="AVX30" s="501"/>
      <c r="AVY30" s="501"/>
      <c r="AVZ30" s="501"/>
      <c r="AWA30" s="501"/>
      <c r="AWB30" s="501"/>
      <c r="AWC30" s="501"/>
      <c r="AWD30" s="501"/>
      <c r="AWE30" s="501"/>
      <c r="AWF30" s="501"/>
      <c r="AWG30" s="501"/>
      <c r="AWH30" s="501"/>
      <c r="AWI30" s="501"/>
      <c r="AWJ30" s="501"/>
      <c r="AWK30" s="501"/>
      <c r="AWL30" s="501"/>
      <c r="AWM30" s="501"/>
      <c r="AWN30" s="501"/>
      <c r="AWO30" s="501"/>
      <c r="AWP30" s="501"/>
      <c r="AWQ30" s="501"/>
      <c r="AWR30" s="501"/>
      <c r="AWS30" s="501"/>
      <c r="AWT30" s="501"/>
      <c r="AWU30" s="501"/>
      <c r="AWV30" s="501"/>
      <c r="AWW30" s="501"/>
      <c r="AWX30" s="501"/>
      <c r="AWY30" s="501"/>
      <c r="AWZ30" s="501"/>
      <c r="AXA30" s="501"/>
      <c r="AXB30" s="501"/>
      <c r="AXC30" s="501"/>
      <c r="AXD30" s="501"/>
      <c r="AXE30" s="501"/>
      <c r="AXF30" s="501"/>
      <c r="AXG30" s="501"/>
      <c r="AXH30" s="501"/>
      <c r="AXI30" s="501"/>
      <c r="AXJ30" s="501"/>
      <c r="AXK30" s="501"/>
      <c r="AXL30" s="501"/>
      <c r="AXM30" s="501"/>
      <c r="AXN30" s="501"/>
      <c r="AXO30" s="501"/>
      <c r="AXP30" s="501"/>
      <c r="AXQ30" s="501"/>
      <c r="AXR30" s="501"/>
      <c r="AXS30" s="501"/>
      <c r="AXT30" s="501"/>
      <c r="AXU30" s="501"/>
      <c r="AXV30" s="501"/>
      <c r="AXW30" s="501"/>
      <c r="AXX30" s="501"/>
      <c r="AXY30" s="501"/>
      <c r="AXZ30" s="501"/>
      <c r="AYA30" s="501"/>
      <c r="AYB30" s="501"/>
      <c r="AYC30" s="501"/>
      <c r="AYD30" s="501"/>
      <c r="AYE30" s="501"/>
      <c r="AYF30" s="501"/>
      <c r="AYG30" s="501"/>
      <c r="AYH30" s="501"/>
      <c r="AYI30" s="501"/>
      <c r="AYJ30" s="501"/>
      <c r="AYK30" s="501"/>
      <c r="AYL30" s="501"/>
      <c r="AYM30" s="501"/>
      <c r="AYN30" s="501"/>
      <c r="AYO30" s="501"/>
      <c r="AYP30" s="501"/>
      <c r="AYQ30" s="501"/>
      <c r="AYR30" s="501"/>
      <c r="AYS30" s="501"/>
      <c r="AYT30" s="501"/>
      <c r="AYU30" s="501"/>
      <c r="AYV30" s="501"/>
      <c r="AYW30" s="501"/>
      <c r="AYX30" s="501"/>
      <c r="AYY30" s="501"/>
      <c r="AYZ30" s="501"/>
      <c r="AZA30" s="501"/>
      <c r="AZB30" s="501"/>
      <c r="AZC30" s="501"/>
      <c r="AZD30" s="501"/>
      <c r="AZE30" s="501"/>
      <c r="AZF30" s="501"/>
      <c r="AZG30" s="501"/>
      <c r="AZH30" s="501"/>
      <c r="AZI30" s="501"/>
      <c r="AZJ30" s="501"/>
      <c r="AZK30" s="501"/>
      <c r="AZL30" s="501"/>
      <c r="AZM30" s="501"/>
      <c r="AZN30" s="501"/>
      <c r="AZO30" s="501"/>
      <c r="AZP30" s="501"/>
      <c r="AZQ30" s="501"/>
      <c r="AZR30" s="501"/>
      <c r="AZS30" s="501"/>
      <c r="AZT30" s="501"/>
      <c r="AZU30" s="501"/>
      <c r="AZV30" s="501"/>
      <c r="AZW30" s="501"/>
      <c r="AZX30" s="501"/>
      <c r="AZY30" s="501"/>
      <c r="AZZ30" s="501"/>
      <c r="BAA30" s="501"/>
      <c r="BAB30" s="501"/>
      <c r="BAC30" s="501"/>
      <c r="BAD30" s="501"/>
      <c r="BAE30" s="501"/>
      <c r="BAF30" s="501"/>
      <c r="BAG30" s="501"/>
      <c r="BAH30" s="501"/>
      <c r="BAI30" s="501"/>
      <c r="BAJ30" s="501"/>
      <c r="BAK30" s="501"/>
      <c r="BAL30" s="501"/>
      <c r="BAM30" s="501"/>
      <c r="BAN30" s="501"/>
      <c r="BAO30" s="501"/>
      <c r="BAP30" s="501"/>
      <c r="BAQ30" s="501"/>
      <c r="BAR30" s="501"/>
      <c r="BAS30" s="501"/>
      <c r="BAT30" s="501"/>
      <c r="BAU30" s="501"/>
      <c r="BAV30" s="501"/>
      <c r="BAW30" s="501"/>
      <c r="BAX30" s="501"/>
      <c r="BAY30" s="501"/>
      <c r="BAZ30" s="501"/>
      <c r="BBA30" s="501"/>
      <c r="BBB30" s="501"/>
      <c r="BBC30" s="501"/>
      <c r="BBD30" s="501"/>
      <c r="BBE30" s="501"/>
      <c r="BBF30" s="501"/>
      <c r="BBG30" s="501"/>
      <c r="BBH30" s="501"/>
      <c r="BBI30" s="501"/>
      <c r="BBJ30" s="501"/>
      <c r="BBK30" s="501"/>
      <c r="BBL30" s="501"/>
      <c r="BBM30" s="501"/>
      <c r="BBN30" s="501"/>
      <c r="BBO30" s="501"/>
      <c r="BBP30" s="501"/>
      <c r="BBQ30" s="501"/>
      <c r="BBR30" s="501"/>
      <c r="BBS30" s="501"/>
      <c r="BBT30" s="501"/>
      <c r="BBU30" s="501"/>
      <c r="BBV30" s="501"/>
      <c r="BBW30" s="501"/>
      <c r="BBX30" s="501"/>
      <c r="BBY30" s="501"/>
      <c r="BBZ30" s="501"/>
      <c r="BCA30" s="501"/>
      <c r="BCB30" s="501"/>
      <c r="BCC30" s="501"/>
      <c r="BCD30" s="501"/>
      <c r="BCE30" s="501"/>
      <c r="BCF30" s="501"/>
      <c r="BCG30" s="501"/>
      <c r="BCH30" s="501"/>
      <c r="BCI30" s="501"/>
      <c r="BCJ30" s="501"/>
      <c r="BCK30" s="501"/>
      <c r="BCL30" s="501"/>
      <c r="BCM30" s="501"/>
      <c r="BCN30" s="501"/>
      <c r="BCO30" s="501"/>
      <c r="BCP30" s="501"/>
      <c r="BCQ30" s="501"/>
      <c r="BCR30" s="501"/>
      <c r="BCS30" s="501"/>
      <c r="BCT30" s="501"/>
      <c r="BCU30" s="501"/>
      <c r="BCV30" s="501"/>
      <c r="BCW30" s="501"/>
      <c r="BCX30" s="501"/>
      <c r="BCY30" s="501"/>
      <c r="BCZ30" s="501"/>
      <c r="BDA30" s="501"/>
      <c r="BDB30" s="501"/>
      <c r="BDC30" s="501"/>
      <c r="BDD30" s="501"/>
      <c r="BDE30" s="501"/>
      <c r="BDF30" s="501"/>
      <c r="BDG30" s="501"/>
      <c r="BDH30" s="501"/>
      <c r="BDI30" s="501"/>
      <c r="BDJ30" s="501"/>
      <c r="BDK30" s="501"/>
      <c r="BDL30" s="501"/>
      <c r="BDM30" s="501"/>
      <c r="BDN30" s="501"/>
      <c r="BDO30" s="501"/>
      <c r="BDP30" s="501"/>
      <c r="BDQ30" s="501"/>
      <c r="BDR30" s="501"/>
      <c r="BDS30" s="501"/>
      <c r="BDT30" s="501"/>
      <c r="BDU30" s="501"/>
      <c r="BDV30" s="501"/>
      <c r="BDW30" s="501"/>
      <c r="BDX30" s="501"/>
      <c r="BDY30" s="501"/>
      <c r="BDZ30" s="501"/>
      <c r="BEA30" s="501"/>
      <c r="BEB30" s="501"/>
      <c r="BEC30" s="501"/>
      <c r="BED30" s="501"/>
      <c r="BEE30" s="501"/>
      <c r="BEF30" s="501"/>
      <c r="BEG30" s="501"/>
      <c r="BEH30" s="501"/>
      <c r="BEI30" s="501"/>
      <c r="BEJ30" s="501"/>
      <c r="BEK30" s="501"/>
      <c r="BEL30" s="501"/>
      <c r="BEM30" s="501"/>
      <c r="BEN30" s="501"/>
      <c r="BEO30" s="501"/>
      <c r="BEP30" s="501"/>
      <c r="BEQ30" s="501"/>
      <c r="BER30" s="501"/>
      <c r="BES30" s="501"/>
      <c r="BET30" s="501"/>
      <c r="BEU30" s="501"/>
      <c r="BEV30" s="501"/>
      <c r="BEW30" s="501"/>
      <c r="BEX30" s="501"/>
      <c r="BEY30" s="501"/>
      <c r="BEZ30" s="501"/>
      <c r="BFA30" s="501"/>
      <c r="BFB30" s="501"/>
      <c r="BFC30" s="501"/>
      <c r="BFD30" s="501"/>
      <c r="BFE30" s="501"/>
      <c r="BFF30" s="501"/>
      <c r="BFG30" s="501"/>
      <c r="BFH30" s="501"/>
      <c r="BFI30" s="501"/>
      <c r="BFJ30" s="501"/>
      <c r="BFK30" s="501"/>
      <c r="BFL30" s="501"/>
      <c r="BFM30" s="501"/>
      <c r="BFN30" s="501"/>
      <c r="BFO30" s="501"/>
      <c r="BFP30" s="501"/>
      <c r="BFQ30" s="501"/>
      <c r="BFR30" s="501"/>
      <c r="BFS30" s="501"/>
      <c r="BFT30" s="501"/>
      <c r="BFU30" s="501"/>
      <c r="BFV30" s="501"/>
      <c r="BFW30" s="501"/>
      <c r="BFX30" s="501"/>
      <c r="BFY30" s="501"/>
      <c r="BFZ30" s="501"/>
      <c r="BGA30" s="501"/>
      <c r="BGB30" s="501"/>
      <c r="BGC30" s="501"/>
      <c r="BGD30" s="501"/>
      <c r="BGE30" s="501"/>
      <c r="BGF30" s="501"/>
      <c r="BGG30" s="501"/>
      <c r="BGH30" s="501"/>
      <c r="BGI30" s="501"/>
      <c r="BGJ30" s="501"/>
      <c r="BGK30" s="501"/>
      <c r="BGL30" s="501"/>
      <c r="BGM30" s="501"/>
      <c r="BGN30" s="501"/>
      <c r="BGO30" s="501"/>
      <c r="BGP30" s="501"/>
      <c r="BGQ30" s="501"/>
      <c r="BGR30" s="501"/>
      <c r="BGS30" s="501"/>
      <c r="BGT30" s="501"/>
      <c r="BGU30" s="501"/>
      <c r="BGV30" s="501"/>
      <c r="BGW30" s="501"/>
      <c r="BGX30" s="501"/>
      <c r="BGY30" s="501"/>
      <c r="BGZ30" s="501"/>
      <c r="BHA30" s="501"/>
      <c r="BHB30" s="501"/>
      <c r="BHC30" s="501"/>
      <c r="BHD30" s="501"/>
      <c r="BHE30" s="501"/>
      <c r="BHF30" s="501"/>
      <c r="BHG30" s="501"/>
      <c r="BHH30" s="501"/>
      <c r="BHI30" s="501"/>
      <c r="BHJ30" s="501"/>
      <c r="BHK30" s="501"/>
      <c r="BHL30" s="501"/>
      <c r="BHM30" s="501"/>
      <c r="BHN30" s="501"/>
      <c r="BHO30" s="501"/>
      <c r="BHP30" s="501"/>
      <c r="BHQ30" s="501"/>
      <c r="BHR30" s="501"/>
      <c r="BHS30" s="501"/>
      <c r="BHT30" s="501"/>
      <c r="BHU30" s="501"/>
      <c r="BHV30" s="501"/>
      <c r="BHW30" s="501"/>
      <c r="BHX30" s="501"/>
      <c r="BHY30" s="501"/>
      <c r="BHZ30" s="501"/>
      <c r="BIA30" s="501"/>
      <c r="BIB30" s="501"/>
      <c r="BIC30" s="501"/>
      <c r="BID30" s="501"/>
      <c r="BIE30" s="501"/>
      <c r="BIF30" s="501"/>
      <c r="BIG30" s="501"/>
      <c r="BIH30" s="501"/>
      <c r="BII30" s="501"/>
      <c r="BIJ30" s="501"/>
      <c r="BIK30" s="501"/>
      <c r="BIL30" s="501"/>
      <c r="BIM30" s="501"/>
      <c r="BIN30" s="501"/>
      <c r="BIO30" s="501"/>
      <c r="BIP30" s="501"/>
      <c r="BIQ30" s="501"/>
      <c r="BIR30" s="501"/>
      <c r="BIS30" s="501"/>
      <c r="BIT30" s="501"/>
      <c r="BIU30" s="501"/>
      <c r="BIV30" s="501"/>
      <c r="BIW30" s="501"/>
      <c r="BIX30" s="501"/>
      <c r="BIY30" s="501"/>
      <c r="BIZ30" s="501"/>
      <c r="BJA30" s="501"/>
      <c r="BJB30" s="501"/>
      <c r="BJC30" s="501"/>
      <c r="BJD30" s="501"/>
      <c r="BJE30" s="501"/>
      <c r="BJF30" s="501"/>
      <c r="BJG30" s="501"/>
      <c r="BJH30" s="501"/>
      <c r="BJI30" s="501"/>
      <c r="BJJ30" s="501"/>
      <c r="BJK30" s="501"/>
      <c r="BJL30" s="501"/>
      <c r="BJM30" s="501"/>
      <c r="BJN30" s="501"/>
      <c r="BJO30" s="501"/>
      <c r="BJP30" s="501"/>
      <c r="BJQ30" s="501"/>
      <c r="BJR30" s="501"/>
      <c r="BJS30" s="501"/>
      <c r="BJT30" s="501"/>
      <c r="BJU30" s="501"/>
      <c r="BJV30" s="501"/>
      <c r="BJW30" s="501"/>
      <c r="BJX30" s="501"/>
      <c r="BJY30" s="501"/>
      <c r="BJZ30" s="501"/>
      <c r="BKA30" s="501"/>
      <c r="BKB30" s="501"/>
      <c r="BKC30" s="501"/>
      <c r="BKD30" s="501"/>
      <c r="BKE30" s="501"/>
      <c r="BKF30" s="501"/>
      <c r="BKG30" s="501"/>
      <c r="BKH30" s="501"/>
      <c r="BKI30" s="501"/>
      <c r="BKJ30" s="501"/>
      <c r="BKK30" s="501"/>
      <c r="BKL30" s="501"/>
      <c r="BKM30" s="501"/>
      <c r="BKN30" s="501"/>
      <c r="BKO30" s="501"/>
      <c r="BKP30" s="501"/>
      <c r="BKQ30" s="501"/>
      <c r="BKR30" s="501"/>
      <c r="BKS30" s="501"/>
      <c r="BKT30" s="501"/>
      <c r="BKU30" s="501"/>
      <c r="BKV30" s="501"/>
      <c r="BKW30" s="501"/>
      <c r="BKX30" s="501"/>
      <c r="BKY30" s="501"/>
      <c r="BKZ30" s="501"/>
      <c r="BLA30" s="501"/>
      <c r="BLB30" s="501"/>
      <c r="BLC30" s="501"/>
      <c r="BLD30" s="501"/>
      <c r="BLE30" s="501"/>
      <c r="BLF30" s="501"/>
      <c r="BLG30" s="501"/>
      <c r="BLH30" s="501"/>
      <c r="BLI30" s="501"/>
      <c r="BLJ30" s="501"/>
      <c r="BLK30" s="501"/>
      <c r="BLL30" s="501"/>
      <c r="BLM30" s="501"/>
      <c r="BLN30" s="501"/>
      <c r="BLO30" s="501"/>
      <c r="BLP30" s="501"/>
      <c r="BLQ30" s="501"/>
      <c r="BLR30" s="501"/>
      <c r="BLS30" s="501"/>
      <c r="BLT30" s="501"/>
      <c r="BLU30" s="501"/>
      <c r="BLV30" s="501"/>
      <c r="BLW30" s="501"/>
      <c r="BLX30" s="501"/>
      <c r="BLY30" s="501"/>
      <c r="BLZ30" s="501"/>
      <c r="BMA30" s="501"/>
      <c r="BMB30" s="501"/>
      <c r="BMC30" s="501"/>
      <c r="BMD30" s="501"/>
      <c r="BME30" s="501"/>
      <c r="BMF30" s="501"/>
      <c r="BMG30" s="501"/>
      <c r="BMH30" s="501"/>
      <c r="BMI30" s="501"/>
      <c r="BMJ30" s="501"/>
      <c r="BMK30" s="501"/>
      <c r="BML30" s="501"/>
      <c r="BMM30" s="501"/>
      <c r="BMN30" s="501"/>
      <c r="BMO30" s="501"/>
      <c r="BMP30" s="501"/>
      <c r="BMQ30" s="501"/>
      <c r="BMR30" s="501"/>
      <c r="BMS30" s="501"/>
      <c r="BMT30" s="501"/>
      <c r="BMU30" s="501"/>
      <c r="BMV30" s="501"/>
      <c r="BMW30" s="501"/>
      <c r="BMX30" s="501"/>
      <c r="BMY30" s="501"/>
      <c r="BMZ30" s="501"/>
      <c r="BNA30" s="501"/>
      <c r="BNB30" s="501"/>
      <c r="BNC30" s="501"/>
      <c r="BND30" s="501"/>
      <c r="BNE30" s="501"/>
      <c r="BNF30" s="501"/>
      <c r="BNG30" s="501"/>
      <c r="BNH30" s="501"/>
      <c r="BNI30" s="501"/>
      <c r="BNJ30" s="501"/>
      <c r="BNK30" s="501"/>
      <c r="BNL30" s="501"/>
      <c r="BNM30" s="501"/>
      <c r="BNN30" s="501"/>
      <c r="BNO30" s="501"/>
      <c r="BNP30" s="501"/>
      <c r="BNQ30" s="501"/>
      <c r="BNR30" s="501"/>
      <c r="BNS30" s="501"/>
      <c r="BNT30" s="501"/>
      <c r="BNU30" s="501"/>
      <c r="BNV30" s="501"/>
      <c r="BNW30" s="501"/>
      <c r="BNX30" s="501"/>
      <c r="BNY30" s="501"/>
      <c r="BNZ30" s="501"/>
      <c r="BOA30" s="501"/>
      <c r="BOB30" s="501"/>
      <c r="BOC30" s="501"/>
      <c r="BOD30" s="501"/>
      <c r="BOE30" s="501"/>
      <c r="BOF30" s="501"/>
      <c r="BOG30" s="501"/>
      <c r="BOH30" s="501"/>
      <c r="BOI30" s="501"/>
      <c r="BOJ30" s="501"/>
      <c r="BOK30" s="501"/>
      <c r="BOL30" s="501"/>
      <c r="BOM30" s="501"/>
      <c r="BON30" s="501"/>
      <c r="BOO30" s="501"/>
      <c r="BOP30" s="501"/>
      <c r="BOQ30" s="501"/>
      <c r="BOR30" s="501"/>
      <c r="BOS30" s="501"/>
      <c r="BOT30" s="501"/>
      <c r="BOU30" s="501"/>
      <c r="BOV30" s="501"/>
      <c r="BOW30" s="501"/>
      <c r="BOX30" s="501"/>
      <c r="BOY30" s="501"/>
      <c r="BOZ30" s="501"/>
      <c r="BPA30" s="501"/>
      <c r="BPB30" s="501"/>
      <c r="BPC30" s="501"/>
      <c r="BPD30" s="501"/>
      <c r="BPE30" s="501"/>
      <c r="BPF30" s="501"/>
      <c r="BPG30" s="501"/>
      <c r="BPH30" s="501"/>
      <c r="BPI30" s="501"/>
      <c r="BPJ30" s="501"/>
      <c r="BPK30" s="501"/>
      <c r="BPL30" s="501"/>
      <c r="BPM30" s="501"/>
      <c r="BPN30" s="501"/>
      <c r="BPO30" s="501"/>
      <c r="BPP30" s="501"/>
      <c r="BPQ30" s="501"/>
      <c r="BPR30" s="501"/>
      <c r="BPS30" s="501"/>
      <c r="BPT30" s="501"/>
      <c r="BPU30" s="501"/>
      <c r="BPV30" s="501"/>
      <c r="BPW30" s="501"/>
      <c r="BPX30" s="501"/>
      <c r="BPY30" s="501"/>
      <c r="BPZ30" s="501"/>
      <c r="BQA30" s="501"/>
      <c r="BQB30" s="501"/>
      <c r="BQC30" s="501"/>
      <c r="BQD30" s="501"/>
      <c r="BQE30" s="501"/>
      <c r="BQF30" s="501"/>
      <c r="BQG30" s="501"/>
      <c r="BQH30" s="501"/>
      <c r="BQI30" s="501"/>
      <c r="BQJ30" s="501"/>
      <c r="BQK30" s="501"/>
      <c r="BQL30" s="501"/>
      <c r="BQM30" s="501"/>
      <c r="BQN30" s="501"/>
      <c r="BQO30" s="501"/>
      <c r="BQP30" s="501"/>
      <c r="BQQ30" s="501"/>
      <c r="BQR30" s="501"/>
      <c r="BQS30" s="501"/>
      <c r="BQT30" s="501"/>
      <c r="BQU30" s="501"/>
      <c r="BQV30" s="501"/>
      <c r="BQW30" s="501"/>
      <c r="BQX30" s="501"/>
      <c r="BQY30" s="501"/>
      <c r="BQZ30" s="501"/>
      <c r="BRA30" s="501"/>
      <c r="BRB30" s="501"/>
      <c r="BRC30" s="501"/>
      <c r="BRD30" s="501"/>
      <c r="BRE30" s="501"/>
      <c r="BRF30" s="501"/>
      <c r="BRG30" s="501"/>
      <c r="BRH30" s="501"/>
      <c r="BRI30" s="501"/>
      <c r="BRJ30" s="501"/>
      <c r="BRK30" s="501"/>
      <c r="BRL30" s="501"/>
      <c r="BRM30" s="501"/>
      <c r="BRN30" s="501"/>
      <c r="BRO30" s="501"/>
      <c r="BRP30" s="501"/>
      <c r="BRQ30" s="501"/>
      <c r="BRR30" s="501"/>
      <c r="BRS30" s="501"/>
      <c r="BRT30" s="501"/>
      <c r="BRU30" s="501"/>
      <c r="BRV30" s="501"/>
      <c r="BRW30" s="501"/>
      <c r="BRX30" s="501"/>
      <c r="BRY30" s="501"/>
      <c r="BRZ30" s="501"/>
      <c r="BSA30" s="501"/>
      <c r="BSB30" s="501"/>
      <c r="BSC30" s="501"/>
    </row>
    <row r="31" spans="1:1849" ht="30" x14ac:dyDescent="0.2">
      <c r="A31" s="503">
        <v>30</v>
      </c>
      <c r="B31" s="172" t="s">
        <v>25</v>
      </c>
      <c r="C31" s="685" t="s">
        <v>454</v>
      </c>
      <c r="D31" s="172" t="s">
        <v>26</v>
      </c>
      <c r="E31" s="172" t="s">
        <v>27</v>
      </c>
      <c r="F31" s="172">
        <v>40</v>
      </c>
      <c r="G31" s="172">
        <v>25</v>
      </c>
      <c r="H31" s="666">
        <v>40</v>
      </c>
      <c r="I31" s="666">
        <v>25</v>
      </c>
      <c r="J31" s="172">
        <v>1</v>
      </c>
      <c r="K31" s="172">
        <f t="shared" si="1"/>
        <v>1000</v>
      </c>
      <c r="L31" s="666" t="s">
        <v>41</v>
      </c>
      <c r="M31" s="666" t="s">
        <v>300</v>
      </c>
      <c r="N31" s="666">
        <v>21.153555999999998</v>
      </c>
      <c r="O31" s="666">
        <v>79.091082999999998</v>
      </c>
      <c r="P31" s="668">
        <v>100000</v>
      </c>
      <c r="Q31" s="170">
        <v>125000</v>
      </c>
      <c r="R31" s="170">
        <v>155000</v>
      </c>
    </row>
    <row r="32" spans="1:1849" ht="15" x14ac:dyDescent="0.2">
      <c r="A32" s="503">
        <v>31</v>
      </c>
      <c r="B32" s="172" t="s">
        <v>25</v>
      </c>
      <c r="C32" s="685" t="s">
        <v>453</v>
      </c>
      <c r="D32" s="172" t="s">
        <v>30</v>
      </c>
      <c r="E32" s="172" t="s">
        <v>27</v>
      </c>
      <c r="F32" s="172">
        <v>40</v>
      </c>
      <c r="G32" s="172">
        <v>25</v>
      </c>
      <c r="H32" s="666"/>
      <c r="I32" s="666"/>
      <c r="J32" s="172">
        <v>1</v>
      </c>
      <c r="K32" s="172">
        <f t="shared" si="1"/>
        <v>1000</v>
      </c>
      <c r="L32" s="666" t="s">
        <v>41</v>
      </c>
      <c r="M32" s="666" t="s">
        <v>300</v>
      </c>
      <c r="N32" s="666">
        <v>21.153274</v>
      </c>
      <c r="O32" s="670">
        <v>79.092169999999996</v>
      </c>
      <c r="P32" s="668">
        <v>50000</v>
      </c>
      <c r="Q32" s="170">
        <v>70000</v>
      </c>
      <c r="R32" s="167">
        <v>135000</v>
      </c>
    </row>
    <row r="33" spans="1:1849" ht="15" x14ac:dyDescent="0.2">
      <c r="A33" s="503">
        <v>32</v>
      </c>
      <c r="B33" s="172" t="s">
        <v>25</v>
      </c>
      <c r="C33" s="548" t="s">
        <v>412</v>
      </c>
      <c r="D33" s="172" t="s">
        <v>26</v>
      </c>
      <c r="E33" s="172" t="s">
        <v>27</v>
      </c>
      <c r="F33" s="172">
        <v>40</v>
      </c>
      <c r="G33" s="172">
        <v>20</v>
      </c>
      <c r="H33" s="666">
        <v>40</v>
      </c>
      <c r="I33" s="666">
        <v>20</v>
      </c>
      <c r="J33" s="172">
        <v>1</v>
      </c>
      <c r="K33" s="172">
        <f t="shared" si="1"/>
        <v>800</v>
      </c>
      <c r="L33" s="666" t="s">
        <v>41</v>
      </c>
      <c r="M33" s="667" t="s">
        <v>308</v>
      </c>
      <c r="N33" s="669">
        <v>21.152398000000002</v>
      </c>
      <c r="O33" s="669">
        <v>79.106228000000002</v>
      </c>
      <c r="P33" s="668">
        <v>60000</v>
      </c>
      <c r="Q33" s="674">
        <v>70000</v>
      </c>
      <c r="R33" s="170">
        <v>115000</v>
      </c>
    </row>
    <row r="34" spans="1:1849" ht="15" x14ac:dyDescent="0.2">
      <c r="A34" s="503">
        <v>33</v>
      </c>
      <c r="B34" s="172" t="s">
        <v>25</v>
      </c>
      <c r="C34" s="548" t="s">
        <v>452</v>
      </c>
      <c r="D34" s="172" t="s">
        <v>30</v>
      </c>
      <c r="E34" s="172" t="s">
        <v>27</v>
      </c>
      <c r="F34" s="172">
        <v>20</v>
      </c>
      <c r="G34" s="172">
        <v>10</v>
      </c>
      <c r="H34" s="666">
        <v>20</v>
      </c>
      <c r="I34" s="666">
        <v>10</v>
      </c>
      <c r="J34" s="172">
        <v>1</v>
      </c>
      <c r="K34" s="172">
        <f t="shared" si="1"/>
        <v>200</v>
      </c>
      <c r="L34" s="666" t="s">
        <v>41</v>
      </c>
      <c r="M34" s="667" t="s">
        <v>308</v>
      </c>
      <c r="N34" s="669">
        <v>21.152471999999999</v>
      </c>
      <c r="O34" s="669">
        <v>79.105556000000007</v>
      </c>
      <c r="P34" s="668">
        <v>10000</v>
      </c>
      <c r="Q34" s="170">
        <v>15000</v>
      </c>
      <c r="R34" s="170">
        <v>30000</v>
      </c>
    </row>
    <row r="35" spans="1:1849" ht="15" x14ac:dyDescent="0.2">
      <c r="A35" s="503">
        <v>34</v>
      </c>
      <c r="B35" s="172" t="s">
        <v>25</v>
      </c>
      <c r="C35" s="548" t="s">
        <v>451</v>
      </c>
      <c r="D35" s="172" t="s">
        <v>26</v>
      </c>
      <c r="E35" s="172" t="s">
        <v>27</v>
      </c>
      <c r="F35" s="172">
        <v>20</v>
      </c>
      <c r="G35" s="172">
        <v>20</v>
      </c>
      <c r="H35" s="666">
        <v>20</v>
      </c>
      <c r="I35" s="666">
        <v>20</v>
      </c>
      <c r="J35" s="172">
        <v>1</v>
      </c>
      <c r="K35" s="172">
        <f t="shared" si="1"/>
        <v>400</v>
      </c>
      <c r="L35" s="666" t="s">
        <v>41</v>
      </c>
      <c r="M35" s="667" t="s">
        <v>308</v>
      </c>
      <c r="N35" s="669">
        <v>21.150727</v>
      </c>
      <c r="O35" s="669">
        <v>79.105227999999997</v>
      </c>
      <c r="P35" s="668">
        <v>30000</v>
      </c>
      <c r="Q35" s="170">
        <v>40000</v>
      </c>
      <c r="R35" s="170">
        <v>70000</v>
      </c>
    </row>
    <row r="36" spans="1:1849" ht="16.5" customHeight="1" x14ac:dyDescent="0.2">
      <c r="A36" s="503">
        <v>35</v>
      </c>
      <c r="B36" s="172" t="s">
        <v>25</v>
      </c>
      <c r="C36" s="548" t="s">
        <v>413</v>
      </c>
      <c r="D36" s="172" t="s">
        <v>30</v>
      </c>
      <c r="E36" s="172" t="s">
        <v>27</v>
      </c>
      <c r="F36" s="172">
        <v>20</v>
      </c>
      <c r="G36" s="172">
        <v>10</v>
      </c>
      <c r="H36" s="666">
        <v>20</v>
      </c>
      <c r="I36" s="666">
        <v>10</v>
      </c>
      <c r="J36" s="172">
        <v>1</v>
      </c>
      <c r="K36" s="172">
        <f t="shared" si="1"/>
        <v>200</v>
      </c>
      <c r="L36" s="666" t="s">
        <v>41</v>
      </c>
      <c r="M36" s="667" t="s">
        <v>308</v>
      </c>
      <c r="N36" s="669">
        <v>21.152471999999999</v>
      </c>
      <c r="O36" s="669">
        <v>79.105556000000007</v>
      </c>
      <c r="P36" s="668">
        <v>10000</v>
      </c>
      <c r="Q36" s="170">
        <v>15000</v>
      </c>
      <c r="R36" s="170">
        <v>30000</v>
      </c>
    </row>
    <row r="37" spans="1:1849" s="595" customFormat="1" ht="15" x14ac:dyDescent="0.2">
      <c r="A37" s="503">
        <v>36</v>
      </c>
      <c r="B37" s="504" t="s">
        <v>25</v>
      </c>
      <c r="C37" s="447" t="s">
        <v>450</v>
      </c>
      <c r="D37" s="504" t="s">
        <v>30</v>
      </c>
      <c r="E37" s="504" t="s">
        <v>27</v>
      </c>
      <c r="F37" s="504">
        <v>20</v>
      </c>
      <c r="G37" s="504">
        <v>10</v>
      </c>
      <c r="H37" s="504">
        <v>20</v>
      </c>
      <c r="I37" s="504">
        <v>10</v>
      </c>
      <c r="J37" s="504">
        <v>1</v>
      </c>
      <c r="K37" s="504">
        <f t="shared" si="1"/>
        <v>200</v>
      </c>
      <c r="L37" s="504" t="s">
        <v>41</v>
      </c>
      <c r="M37" s="509" t="s">
        <v>311</v>
      </c>
      <c r="N37" s="510" t="s">
        <v>43</v>
      </c>
      <c r="O37" s="504">
        <v>79.095805999999996</v>
      </c>
      <c r="P37" s="504">
        <v>10000</v>
      </c>
      <c r="Q37" s="504">
        <v>15000</v>
      </c>
      <c r="R37" s="504">
        <v>35000</v>
      </c>
    </row>
    <row r="38" spans="1:1849" s="595" customFormat="1" ht="15" x14ac:dyDescent="0.2">
      <c r="A38" s="503">
        <v>37</v>
      </c>
      <c r="B38" s="504" t="s">
        <v>25</v>
      </c>
      <c r="C38" s="447" t="s">
        <v>415</v>
      </c>
      <c r="D38" s="504" t="s">
        <v>30</v>
      </c>
      <c r="E38" s="504" t="s">
        <v>27</v>
      </c>
      <c r="F38" s="504">
        <v>20</v>
      </c>
      <c r="G38" s="504">
        <v>30</v>
      </c>
      <c r="H38" s="504">
        <v>20</v>
      </c>
      <c r="I38" s="504">
        <v>30</v>
      </c>
      <c r="J38" s="504">
        <v>1</v>
      </c>
      <c r="K38" s="504">
        <f t="shared" si="1"/>
        <v>600</v>
      </c>
      <c r="L38" s="504" t="s">
        <v>41</v>
      </c>
      <c r="M38" s="509" t="s">
        <v>311</v>
      </c>
      <c r="N38" s="510" t="s">
        <v>43</v>
      </c>
      <c r="O38" s="504">
        <v>79.095805999999996</v>
      </c>
      <c r="P38" s="504">
        <v>40000</v>
      </c>
      <c r="Q38" s="504">
        <v>50000</v>
      </c>
      <c r="R38" s="504">
        <v>70000</v>
      </c>
      <c r="AE38" s="508"/>
    </row>
    <row r="39" spans="1:1849" s="595" customFormat="1" ht="15" x14ac:dyDescent="0.2">
      <c r="A39" s="503">
        <v>38</v>
      </c>
      <c r="B39" s="504" t="s">
        <v>25</v>
      </c>
      <c r="C39" s="447" t="s">
        <v>414</v>
      </c>
      <c r="D39" s="504" t="s">
        <v>30</v>
      </c>
      <c r="E39" s="504" t="s">
        <v>27</v>
      </c>
      <c r="F39" s="504">
        <v>20</v>
      </c>
      <c r="G39" s="504">
        <v>20</v>
      </c>
      <c r="H39" s="504">
        <v>20</v>
      </c>
      <c r="I39" s="504">
        <v>20</v>
      </c>
      <c r="J39" s="504">
        <v>1</v>
      </c>
      <c r="K39" s="504">
        <f t="shared" si="1"/>
        <v>400</v>
      </c>
      <c r="L39" s="504" t="s">
        <v>41</v>
      </c>
      <c r="M39" s="509" t="s">
        <v>311</v>
      </c>
      <c r="N39" s="510" t="s">
        <v>43</v>
      </c>
      <c r="O39" s="504">
        <v>79.095805999999996</v>
      </c>
      <c r="P39" s="504">
        <v>30000</v>
      </c>
      <c r="Q39" s="504">
        <v>40000</v>
      </c>
      <c r="R39" s="504">
        <v>55000</v>
      </c>
    </row>
    <row r="40" spans="1:1849" s="595" customFormat="1" ht="15" x14ac:dyDescent="0.2">
      <c r="A40" s="503">
        <v>39</v>
      </c>
      <c r="B40" s="504" t="s">
        <v>25</v>
      </c>
      <c r="C40" s="447" t="s">
        <v>449</v>
      </c>
      <c r="D40" s="504" t="s">
        <v>26</v>
      </c>
      <c r="E40" s="504" t="s">
        <v>27</v>
      </c>
      <c r="F40" s="504">
        <v>40</v>
      </c>
      <c r="G40" s="504">
        <v>20</v>
      </c>
      <c r="H40" s="504">
        <v>40</v>
      </c>
      <c r="I40" s="504">
        <v>20</v>
      </c>
      <c r="J40" s="504">
        <v>1</v>
      </c>
      <c r="K40" s="504">
        <f t="shared" si="1"/>
        <v>800</v>
      </c>
      <c r="L40" s="504" t="s">
        <v>41</v>
      </c>
      <c r="M40" s="509" t="s">
        <v>352</v>
      </c>
      <c r="N40" s="510" t="s">
        <v>44</v>
      </c>
      <c r="O40" s="504">
        <v>79.089460000000003</v>
      </c>
      <c r="P40" s="504">
        <v>60000</v>
      </c>
      <c r="Q40" s="504">
        <v>70000</v>
      </c>
      <c r="R40" s="504">
        <v>100000</v>
      </c>
    </row>
    <row r="41" spans="1:1849" s="502" customFormat="1" ht="15" x14ac:dyDescent="0.2">
      <c r="A41" s="503">
        <v>40</v>
      </c>
      <c r="B41" s="504" t="s">
        <v>25</v>
      </c>
      <c r="C41" s="548" t="s">
        <v>449</v>
      </c>
      <c r="D41" s="505" t="s">
        <v>26</v>
      </c>
      <c r="E41" s="505" t="s">
        <v>27</v>
      </c>
      <c r="F41" s="505">
        <v>20</v>
      </c>
      <c r="G41" s="505">
        <v>20</v>
      </c>
      <c r="H41" s="505">
        <v>20</v>
      </c>
      <c r="I41" s="505">
        <v>20</v>
      </c>
      <c r="J41" s="504">
        <v>1</v>
      </c>
      <c r="K41" s="504">
        <f t="shared" si="1"/>
        <v>400</v>
      </c>
      <c r="L41" s="505" t="s">
        <v>41</v>
      </c>
      <c r="M41" s="511" t="s">
        <v>352</v>
      </c>
      <c r="N41" s="510" t="s">
        <v>44</v>
      </c>
      <c r="O41" s="504">
        <v>79.089460000000003</v>
      </c>
      <c r="P41" s="506">
        <v>35000</v>
      </c>
      <c r="Q41" s="505">
        <v>40000</v>
      </c>
      <c r="R41" s="505">
        <v>70000</v>
      </c>
      <c r="S41" s="501"/>
      <c r="T41" s="501"/>
      <c r="U41" s="501"/>
      <c r="V41" s="501"/>
      <c r="W41" s="501"/>
      <c r="X41" s="501"/>
      <c r="Y41" s="501"/>
      <c r="Z41" s="501"/>
      <c r="AA41" s="501"/>
      <c r="AB41" s="501"/>
      <c r="AC41" s="501"/>
      <c r="AD41" s="501"/>
      <c r="AE41" s="501"/>
      <c r="AF41" s="501"/>
      <c r="AG41" s="501"/>
      <c r="AH41" s="501"/>
      <c r="AI41" s="501"/>
      <c r="AJ41" s="501"/>
      <c r="AK41" s="501"/>
      <c r="AL41" s="501"/>
      <c r="AM41" s="501"/>
      <c r="AN41" s="501"/>
      <c r="AO41" s="501"/>
      <c r="AP41" s="501"/>
      <c r="AQ41" s="501"/>
      <c r="AR41" s="501"/>
      <c r="AS41" s="501"/>
      <c r="AT41" s="501"/>
      <c r="AU41" s="501"/>
      <c r="AV41" s="501"/>
      <c r="AW41" s="501"/>
      <c r="AX41" s="501"/>
      <c r="AY41" s="501"/>
      <c r="AZ41" s="501"/>
      <c r="BA41" s="501"/>
      <c r="BB41" s="501"/>
      <c r="BC41" s="501"/>
      <c r="BD41" s="501"/>
      <c r="BE41" s="501"/>
      <c r="BF41" s="501"/>
      <c r="BG41" s="501"/>
      <c r="BH41" s="501"/>
      <c r="BI41" s="501"/>
      <c r="BJ41" s="501"/>
      <c r="BK41" s="501"/>
      <c r="BL41" s="501"/>
      <c r="BM41" s="501"/>
      <c r="BN41" s="501"/>
      <c r="BO41" s="501"/>
      <c r="BP41" s="501"/>
      <c r="BQ41" s="501"/>
      <c r="BR41" s="501"/>
      <c r="BS41" s="501"/>
      <c r="BT41" s="501"/>
      <c r="BU41" s="501"/>
      <c r="BV41" s="501"/>
      <c r="BW41" s="501"/>
      <c r="BX41" s="501"/>
      <c r="BY41" s="501"/>
      <c r="BZ41" s="501"/>
      <c r="CA41" s="501"/>
      <c r="CB41" s="501"/>
      <c r="CC41" s="501"/>
      <c r="CD41" s="501"/>
      <c r="CE41" s="501"/>
      <c r="CF41" s="501"/>
      <c r="CG41" s="501"/>
      <c r="CH41" s="501"/>
      <c r="CI41" s="501"/>
      <c r="CJ41" s="501"/>
      <c r="CK41" s="501"/>
      <c r="CL41" s="501"/>
      <c r="CM41" s="501"/>
      <c r="CN41" s="501"/>
      <c r="CO41" s="501"/>
      <c r="CP41" s="501"/>
      <c r="CQ41" s="501"/>
      <c r="CR41" s="501"/>
      <c r="CS41" s="501"/>
      <c r="CT41" s="501"/>
      <c r="CU41" s="501"/>
      <c r="CV41" s="501"/>
      <c r="CW41" s="501"/>
      <c r="CX41" s="501"/>
      <c r="CY41" s="501"/>
      <c r="CZ41" s="501"/>
      <c r="DA41" s="501"/>
      <c r="DB41" s="501"/>
      <c r="DC41" s="501"/>
      <c r="DD41" s="501"/>
      <c r="DE41" s="501"/>
      <c r="DF41" s="501"/>
      <c r="DG41" s="501"/>
      <c r="DH41" s="501"/>
      <c r="DI41" s="501"/>
      <c r="DJ41" s="501"/>
      <c r="DK41" s="501"/>
      <c r="DL41" s="501"/>
      <c r="DM41" s="501"/>
      <c r="DN41" s="501"/>
      <c r="DO41" s="501"/>
      <c r="DP41" s="501"/>
      <c r="DQ41" s="501"/>
      <c r="DR41" s="501"/>
      <c r="DS41" s="501"/>
      <c r="DT41" s="501"/>
      <c r="DU41" s="501"/>
      <c r="DV41" s="501"/>
      <c r="DW41" s="501"/>
      <c r="DX41" s="501"/>
      <c r="DY41" s="501"/>
      <c r="DZ41" s="501"/>
      <c r="EA41" s="501"/>
      <c r="EB41" s="501"/>
      <c r="EC41" s="501"/>
      <c r="ED41" s="501"/>
      <c r="EE41" s="501"/>
      <c r="EF41" s="501"/>
      <c r="EG41" s="501"/>
      <c r="EH41" s="501"/>
      <c r="EI41" s="501"/>
      <c r="EJ41" s="501"/>
      <c r="EK41" s="501"/>
      <c r="EL41" s="501"/>
      <c r="EM41" s="501"/>
      <c r="EN41" s="501"/>
      <c r="EO41" s="501"/>
      <c r="EP41" s="501"/>
      <c r="EQ41" s="501"/>
      <c r="ER41" s="501"/>
      <c r="ES41" s="501"/>
      <c r="ET41" s="501"/>
      <c r="EU41" s="501"/>
      <c r="EV41" s="501"/>
      <c r="EW41" s="501"/>
      <c r="EX41" s="501"/>
      <c r="EY41" s="501"/>
      <c r="EZ41" s="501"/>
      <c r="FA41" s="501"/>
      <c r="FB41" s="501"/>
      <c r="FC41" s="501"/>
      <c r="FD41" s="501"/>
      <c r="FE41" s="501"/>
      <c r="FF41" s="501"/>
      <c r="FG41" s="501"/>
      <c r="FH41" s="501"/>
      <c r="FI41" s="501"/>
      <c r="FJ41" s="501"/>
      <c r="FK41" s="501"/>
      <c r="FL41" s="501"/>
      <c r="FM41" s="501"/>
      <c r="FN41" s="501"/>
      <c r="FO41" s="501"/>
      <c r="FP41" s="501"/>
      <c r="FQ41" s="501"/>
      <c r="FR41" s="501"/>
      <c r="FS41" s="501"/>
      <c r="FT41" s="501"/>
      <c r="FU41" s="501"/>
      <c r="FV41" s="501"/>
      <c r="FW41" s="501"/>
      <c r="FX41" s="501"/>
      <c r="FY41" s="501"/>
      <c r="FZ41" s="501"/>
      <c r="GA41" s="501"/>
      <c r="GB41" s="501"/>
      <c r="GC41" s="501"/>
      <c r="GD41" s="501"/>
      <c r="GE41" s="501"/>
      <c r="GF41" s="501"/>
      <c r="GG41" s="501"/>
      <c r="GH41" s="501"/>
      <c r="GI41" s="501"/>
      <c r="GJ41" s="501"/>
      <c r="GK41" s="501"/>
      <c r="GL41" s="501"/>
      <c r="GM41" s="501"/>
      <c r="GN41" s="501"/>
      <c r="GO41" s="501"/>
      <c r="GP41" s="501"/>
      <c r="GQ41" s="501"/>
      <c r="GR41" s="501"/>
      <c r="GS41" s="501"/>
      <c r="GT41" s="501"/>
      <c r="GU41" s="501"/>
      <c r="GV41" s="501"/>
      <c r="GW41" s="501"/>
      <c r="GX41" s="501"/>
      <c r="GY41" s="501"/>
      <c r="GZ41" s="501"/>
      <c r="HA41" s="501"/>
      <c r="HB41" s="501"/>
      <c r="HC41" s="501"/>
      <c r="HD41" s="501"/>
      <c r="HE41" s="501"/>
      <c r="HF41" s="501"/>
      <c r="HG41" s="501"/>
      <c r="HH41" s="501"/>
      <c r="HI41" s="501"/>
      <c r="HJ41" s="501"/>
      <c r="HK41" s="501"/>
      <c r="HL41" s="501"/>
      <c r="HM41" s="501"/>
      <c r="HN41" s="501"/>
      <c r="HO41" s="501"/>
      <c r="HP41" s="501"/>
      <c r="HQ41" s="501"/>
      <c r="HR41" s="501"/>
      <c r="HS41" s="501"/>
      <c r="HT41" s="501"/>
      <c r="HU41" s="501"/>
      <c r="HV41" s="501"/>
      <c r="HW41" s="501"/>
      <c r="HX41" s="501"/>
      <c r="HY41" s="501"/>
      <c r="HZ41" s="501"/>
      <c r="IA41" s="501"/>
      <c r="IB41" s="501"/>
      <c r="IC41" s="501"/>
      <c r="ID41" s="501"/>
      <c r="IE41" s="501"/>
      <c r="IF41" s="501"/>
      <c r="IG41" s="501"/>
      <c r="IH41" s="501"/>
      <c r="II41" s="501"/>
      <c r="IJ41" s="501"/>
      <c r="IK41" s="501"/>
      <c r="IL41" s="501"/>
      <c r="IM41" s="501"/>
      <c r="IN41" s="501"/>
      <c r="IO41" s="501"/>
      <c r="IP41" s="501"/>
      <c r="IQ41" s="501"/>
      <c r="IR41" s="501"/>
      <c r="IS41" s="501"/>
      <c r="IT41" s="501"/>
      <c r="IU41" s="501"/>
      <c r="IV41" s="501"/>
      <c r="IW41" s="501"/>
      <c r="IX41" s="501"/>
      <c r="IY41" s="501"/>
      <c r="IZ41" s="501"/>
      <c r="JA41" s="501"/>
      <c r="JB41" s="501"/>
      <c r="JC41" s="501"/>
      <c r="JD41" s="501"/>
      <c r="JE41" s="501"/>
      <c r="JF41" s="501"/>
      <c r="JG41" s="501"/>
      <c r="JH41" s="501"/>
      <c r="JI41" s="501"/>
      <c r="JJ41" s="501"/>
      <c r="JK41" s="501"/>
      <c r="JL41" s="501"/>
      <c r="JM41" s="501"/>
      <c r="JN41" s="501"/>
      <c r="JO41" s="501"/>
      <c r="JP41" s="501"/>
      <c r="JQ41" s="501"/>
      <c r="JR41" s="501"/>
      <c r="JS41" s="501"/>
      <c r="JT41" s="501"/>
      <c r="JU41" s="501"/>
      <c r="JV41" s="501"/>
      <c r="JW41" s="501"/>
      <c r="JX41" s="501"/>
      <c r="JY41" s="501"/>
      <c r="JZ41" s="501"/>
      <c r="KA41" s="501"/>
      <c r="KB41" s="501"/>
      <c r="KC41" s="501"/>
      <c r="KD41" s="501"/>
      <c r="KE41" s="501"/>
      <c r="KF41" s="501"/>
      <c r="KG41" s="501"/>
      <c r="KH41" s="501"/>
      <c r="KI41" s="501"/>
      <c r="KJ41" s="501"/>
      <c r="KK41" s="501"/>
      <c r="KL41" s="501"/>
      <c r="KM41" s="501"/>
      <c r="KN41" s="501"/>
      <c r="KO41" s="501"/>
      <c r="KP41" s="501"/>
      <c r="KQ41" s="501"/>
      <c r="KR41" s="501"/>
      <c r="KS41" s="501"/>
      <c r="KT41" s="501"/>
      <c r="KU41" s="501"/>
      <c r="KV41" s="501"/>
      <c r="KW41" s="501"/>
      <c r="KX41" s="501"/>
      <c r="KY41" s="501"/>
      <c r="KZ41" s="501"/>
      <c r="LA41" s="501"/>
      <c r="LB41" s="501"/>
      <c r="LC41" s="501"/>
      <c r="LD41" s="501"/>
      <c r="LE41" s="501"/>
      <c r="LF41" s="501"/>
      <c r="LG41" s="501"/>
      <c r="LH41" s="501"/>
      <c r="LI41" s="501"/>
      <c r="LJ41" s="501"/>
      <c r="LK41" s="501"/>
      <c r="LL41" s="501"/>
      <c r="LM41" s="501"/>
      <c r="LN41" s="501"/>
      <c r="LO41" s="501"/>
      <c r="LP41" s="501"/>
      <c r="LQ41" s="501"/>
      <c r="LR41" s="501"/>
      <c r="LS41" s="501"/>
      <c r="LT41" s="501"/>
      <c r="LU41" s="501"/>
      <c r="LV41" s="501"/>
      <c r="LW41" s="501"/>
      <c r="LX41" s="501"/>
      <c r="LY41" s="501"/>
      <c r="LZ41" s="501"/>
      <c r="MA41" s="501"/>
      <c r="MB41" s="501"/>
      <c r="MC41" s="501"/>
      <c r="MD41" s="501"/>
      <c r="ME41" s="501"/>
      <c r="MF41" s="501"/>
      <c r="MG41" s="501"/>
      <c r="MH41" s="501"/>
      <c r="MI41" s="501"/>
      <c r="MJ41" s="501"/>
      <c r="MK41" s="501"/>
      <c r="ML41" s="501"/>
      <c r="MM41" s="501"/>
      <c r="MN41" s="501"/>
      <c r="MO41" s="501"/>
      <c r="MP41" s="501"/>
      <c r="MQ41" s="501"/>
      <c r="MR41" s="501"/>
      <c r="MS41" s="501"/>
      <c r="MT41" s="501"/>
      <c r="MU41" s="501"/>
      <c r="MV41" s="501"/>
      <c r="MW41" s="501"/>
      <c r="MX41" s="501"/>
      <c r="MY41" s="501"/>
      <c r="MZ41" s="501"/>
      <c r="NA41" s="501"/>
      <c r="NB41" s="501"/>
      <c r="NC41" s="501"/>
      <c r="ND41" s="501"/>
      <c r="NE41" s="501"/>
      <c r="NF41" s="501"/>
      <c r="NG41" s="501"/>
      <c r="NH41" s="501"/>
      <c r="NI41" s="501"/>
      <c r="NJ41" s="501"/>
      <c r="NK41" s="501"/>
      <c r="NL41" s="501"/>
      <c r="NM41" s="501"/>
      <c r="NN41" s="501"/>
      <c r="NO41" s="501"/>
      <c r="NP41" s="501"/>
      <c r="NQ41" s="501"/>
      <c r="NR41" s="501"/>
      <c r="NS41" s="501"/>
      <c r="NT41" s="501"/>
      <c r="NU41" s="501"/>
      <c r="NV41" s="501"/>
      <c r="NW41" s="501"/>
      <c r="NX41" s="501"/>
      <c r="NY41" s="501"/>
      <c r="NZ41" s="501"/>
      <c r="OA41" s="501"/>
      <c r="OB41" s="501"/>
      <c r="OC41" s="501"/>
      <c r="OD41" s="501"/>
      <c r="OE41" s="501"/>
      <c r="OF41" s="501"/>
      <c r="OG41" s="501"/>
      <c r="OH41" s="501"/>
      <c r="OI41" s="501"/>
      <c r="OJ41" s="501"/>
      <c r="OK41" s="501"/>
      <c r="OL41" s="501"/>
      <c r="OM41" s="501"/>
      <c r="ON41" s="501"/>
      <c r="OO41" s="501"/>
      <c r="OP41" s="501"/>
      <c r="OQ41" s="501"/>
      <c r="OR41" s="501"/>
      <c r="OS41" s="501"/>
      <c r="OT41" s="501"/>
      <c r="OU41" s="501"/>
      <c r="OV41" s="501"/>
      <c r="OW41" s="501"/>
      <c r="OX41" s="501"/>
      <c r="OY41" s="501"/>
      <c r="OZ41" s="501"/>
      <c r="PA41" s="501"/>
      <c r="PB41" s="501"/>
      <c r="PC41" s="501"/>
      <c r="PD41" s="501"/>
      <c r="PE41" s="501"/>
      <c r="PF41" s="501"/>
      <c r="PG41" s="501"/>
      <c r="PH41" s="501"/>
      <c r="PI41" s="501"/>
      <c r="PJ41" s="501"/>
      <c r="PK41" s="501"/>
      <c r="PL41" s="501"/>
      <c r="PM41" s="501"/>
      <c r="PN41" s="501"/>
      <c r="PO41" s="501"/>
      <c r="PP41" s="501"/>
      <c r="PQ41" s="501"/>
      <c r="PR41" s="501"/>
      <c r="PS41" s="501"/>
      <c r="PT41" s="501"/>
      <c r="PU41" s="501"/>
      <c r="PV41" s="501"/>
      <c r="PW41" s="501"/>
      <c r="PX41" s="501"/>
      <c r="PY41" s="501"/>
      <c r="PZ41" s="501"/>
      <c r="QA41" s="501"/>
      <c r="QB41" s="501"/>
      <c r="QC41" s="501"/>
      <c r="QD41" s="501"/>
      <c r="QE41" s="501"/>
      <c r="QF41" s="501"/>
      <c r="QG41" s="501"/>
      <c r="QH41" s="501"/>
      <c r="QI41" s="501"/>
      <c r="QJ41" s="501"/>
      <c r="QK41" s="501"/>
      <c r="QL41" s="501"/>
      <c r="QM41" s="501"/>
      <c r="QN41" s="501"/>
      <c r="QO41" s="501"/>
      <c r="QP41" s="501"/>
      <c r="QQ41" s="501"/>
      <c r="QR41" s="501"/>
      <c r="QS41" s="501"/>
      <c r="QT41" s="501"/>
      <c r="QU41" s="501"/>
      <c r="QV41" s="501"/>
      <c r="QW41" s="501"/>
      <c r="QX41" s="501"/>
      <c r="QY41" s="501"/>
      <c r="QZ41" s="501"/>
      <c r="RA41" s="501"/>
      <c r="RB41" s="501"/>
      <c r="RC41" s="501"/>
      <c r="RD41" s="501"/>
      <c r="RE41" s="501"/>
      <c r="RF41" s="501"/>
      <c r="RG41" s="501"/>
      <c r="RH41" s="501"/>
      <c r="RI41" s="501"/>
      <c r="RJ41" s="501"/>
      <c r="RK41" s="501"/>
      <c r="RL41" s="501"/>
      <c r="RM41" s="501"/>
      <c r="RN41" s="501"/>
      <c r="RO41" s="501"/>
      <c r="RP41" s="501"/>
      <c r="RQ41" s="501"/>
      <c r="RR41" s="501"/>
      <c r="RS41" s="501"/>
      <c r="RT41" s="501"/>
      <c r="RU41" s="501"/>
      <c r="RV41" s="501"/>
      <c r="RW41" s="501"/>
      <c r="RX41" s="501"/>
      <c r="RY41" s="501"/>
      <c r="RZ41" s="501"/>
      <c r="SA41" s="501"/>
      <c r="SB41" s="501"/>
      <c r="SC41" s="501"/>
      <c r="SD41" s="501"/>
      <c r="SE41" s="501"/>
      <c r="SF41" s="501"/>
      <c r="SG41" s="501"/>
      <c r="SH41" s="501"/>
      <c r="SI41" s="501"/>
      <c r="SJ41" s="501"/>
      <c r="SK41" s="501"/>
      <c r="SL41" s="501"/>
      <c r="SM41" s="501"/>
      <c r="SN41" s="501"/>
      <c r="SO41" s="501"/>
      <c r="SP41" s="501"/>
      <c r="SQ41" s="501"/>
      <c r="SR41" s="501"/>
      <c r="SS41" s="501"/>
      <c r="ST41" s="501"/>
      <c r="SU41" s="501"/>
      <c r="SV41" s="501"/>
      <c r="SW41" s="501"/>
      <c r="SX41" s="501"/>
      <c r="SY41" s="501"/>
      <c r="SZ41" s="501"/>
      <c r="TA41" s="501"/>
      <c r="TB41" s="501"/>
      <c r="TC41" s="501"/>
      <c r="TD41" s="501"/>
      <c r="TE41" s="501"/>
      <c r="TF41" s="501"/>
      <c r="TG41" s="501"/>
      <c r="TH41" s="501"/>
      <c r="TI41" s="501"/>
      <c r="TJ41" s="501"/>
      <c r="TK41" s="501"/>
      <c r="TL41" s="501"/>
      <c r="TM41" s="501"/>
      <c r="TN41" s="501"/>
      <c r="TO41" s="501"/>
      <c r="TP41" s="501"/>
      <c r="TQ41" s="501"/>
      <c r="TR41" s="501"/>
      <c r="TS41" s="501"/>
      <c r="TT41" s="501"/>
      <c r="TU41" s="501"/>
      <c r="TV41" s="501"/>
      <c r="TW41" s="501"/>
      <c r="TX41" s="501"/>
      <c r="TY41" s="501"/>
      <c r="TZ41" s="501"/>
      <c r="UA41" s="501"/>
      <c r="UB41" s="501"/>
      <c r="UC41" s="501"/>
      <c r="UD41" s="501"/>
      <c r="UE41" s="501"/>
      <c r="UF41" s="501"/>
      <c r="UG41" s="501"/>
      <c r="UH41" s="501"/>
      <c r="UI41" s="501"/>
      <c r="UJ41" s="501"/>
      <c r="UK41" s="501"/>
      <c r="UL41" s="501"/>
      <c r="UM41" s="501"/>
      <c r="UN41" s="501"/>
      <c r="UO41" s="501"/>
      <c r="UP41" s="501"/>
      <c r="UQ41" s="501"/>
      <c r="UR41" s="501"/>
      <c r="US41" s="501"/>
      <c r="UT41" s="501"/>
      <c r="UU41" s="501"/>
      <c r="UV41" s="501"/>
      <c r="UW41" s="501"/>
      <c r="UX41" s="501"/>
      <c r="UY41" s="501"/>
      <c r="UZ41" s="501"/>
      <c r="VA41" s="501"/>
      <c r="VB41" s="501"/>
      <c r="VC41" s="501"/>
      <c r="VD41" s="501"/>
      <c r="VE41" s="501"/>
      <c r="VF41" s="501"/>
      <c r="VG41" s="501"/>
      <c r="VH41" s="501"/>
      <c r="VI41" s="501"/>
      <c r="VJ41" s="501"/>
      <c r="VK41" s="501"/>
      <c r="VL41" s="501"/>
      <c r="VM41" s="501"/>
      <c r="VN41" s="501"/>
      <c r="VO41" s="501"/>
      <c r="VP41" s="501"/>
      <c r="VQ41" s="501"/>
      <c r="VR41" s="501"/>
      <c r="VS41" s="501"/>
      <c r="VT41" s="501"/>
      <c r="VU41" s="501"/>
      <c r="VV41" s="501"/>
      <c r="VW41" s="501"/>
      <c r="VX41" s="501"/>
      <c r="VY41" s="501"/>
      <c r="VZ41" s="501"/>
      <c r="WA41" s="501"/>
      <c r="WB41" s="501"/>
      <c r="WC41" s="501"/>
      <c r="WD41" s="501"/>
      <c r="WE41" s="501"/>
      <c r="WF41" s="501"/>
      <c r="WG41" s="501"/>
      <c r="WH41" s="501"/>
      <c r="WI41" s="501"/>
      <c r="WJ41" s="501"/>
      <c r="WK41" s="501"/>
      <c r="WL41" s="501"/>
      <c r="WM41" s="501"/>
      <c r="WN41" s="501"/>
      <c r="WO41" s="501"/>
      <c r="WP41" s="501"/>
      <c r="WQ41" s="501"/>
      <c r="WR41" s="501"/>
      <c r="WS41" s="501"/>
      <c r="WT41" s="501"/>
      <c r="WU41" s="501"/>
      <c r="WV41" s="501"/>
      <c r="WW41" s="501"/>
      <c r="WX41" s="501"/>
      <c r="WY41" s="501"/>
      <c r="WZ41" s="501"/>
      <c r="XA41" s="501"/>
      <c r="XB41" s="501"/>
      <c r="XC41" s="501"/>
      <c r="XD41" s="501"/>
      <c r="XE41" s="501"/>
      <c r="XF41" s="501"/>
      <c r="XG41" s="501"/>
      <c r="XH41" s="501"/>
      <c r="XI41" s="501"/>
      <c r="XJ41" s="501"/>
      <c r="XK41" s="501"/>
      <c r="XL41" s="501"/>
      <c r="XM41" s="501"/>
      <c r="XN41" s="501"/>
      <c r="XO41" s="501"/>
      <c r="XP41" s="501"/>
      <c r="XQ41" s="501"/>
      <c r="XR41" s="501"/>
      <c r="XS41" s="501"/>
      <c r="XT41" s="501"/>
      <c r="XU41" s="501"/>
      <c r="XV41" s="501"/>
      <c r="XW41" s="501"/>
      <c r="XX41" s="501"/>
      <c r="XY41" s="501"/>
      <c r="XZ41" s="501"/>
      <c r="YA41" s="501"/>
      <c r="YB41" s="501"/>
      <c r="YC41" s="501"/>
      <c r="YD41" s="501"/>
      <c r="YE41" s="501"/>
      <c r="YF41" s="501"/>
      <c r="YG41" s="501"/>
      <c r="YH41" s="501"/>
      <c r="YI41" s="501"/>
      <c r="YJ41" s="501"/>
      <c r="YK41" s="501"/>
      <c r="YL41" s="501"/>
      <c r="YM41" s="501"/>
      <c r="YN41" s="501"/>
      <c r="YO41" s="501"/>
      <c r="YP41" s="501"/>
      <c r="YQ41" s="501"/>
      <c r="YR41" s="501"/>
      <c r="YS41" s="501"/>
      <c r="YT41" s="501"/>
      <c r="YU41" s="501"/>
      <c r="YV41" s="501"/>
      <c r="YW41" s="501"/>
      <c r="YX41" s="501"/>
      <c r="YY41" s="501"/>
      <c r="YZ41" s="501"/>
      <c r="ZA41" s="501"/>
      <c r="ZB41" s="501"/>
      <c r="ZC41" s="501"/>
      <c r="ZD41" s="501"/>
      <c r="ZE41" s="501"/>
      <c r="ZF41" s="501"/>
      <c r="ZG41" s="501"/>
      <c r="ZH41" s="501"/>
      <c r="ZI41" s="501"/>
      <c r="ZJ41" s="501"/>
      <c r="ZK41" s="501"/>
      <c r="ZL41" s="501"/>
      <c r="ZM41" s="501"/>
      <c r="ZN41" s="501"/>
      <c r="ZO41" s="501"/>
      <c r="ZP41" s="501"/>
      <c r="ZQ41" s="501"/>
      <c r="ZR41" s="501"/>
      <c r="ZS41" s="501"/>
      <c r="ZT41" s="501"/>
      <c r="ZU41" s="501"/>
      <c r="ZV41" s="501"/>
      <c r="ZW41" s="501"/>
      <c r="ZX41" s="501"/>
      <c r="ZY41" s="501"/>
      <c r="ZZ41" s="501"/>
      <c r="AAA41" s="501"/>
      <c r="AAB41" s="501"/>
      <c r="AAC41" s="501"/>
      <c r="AAD41" s="501"/>
      <c r="AAE41" s="501"/>
      <c r="AAF41" s="501"/>
      <c r="AAG41" s="501"/>
      <c r="AAH41" s="501"/>
      <c r="AAI41" s="501"/>
      <c r="AAJ41" s="501"/>
      <c r="AAK41" s="501"/>
      <c r="AAL41" s="501"/>
      <c r="AAM41" s="501"/>
      <c r="AAN41" s="501"/>
      <c r="AAO41" s="501"/>
      <c r="AAP41" s="501"/>
      <c r="AAQ41" s="501"/>
      <c r="AAR41" s="501"/>
      <c r="AAS41" s="501"/>
      <c r="AAT41" s="501"/>
      <c r="AAU41" s="501"/>
      <c r="AAV41" s="501"/>
      <c r="AAW41" s="501"/>
      <c r="AAX41" s="501"/>
      <c r="AAY41" s="501"/>
      <c r="AAZ41" s="501"/>
      <c r="ABA41" s="501"/>
      <c r="ABB41" s="501"/>
      <c r="ABC41" s="501"/>
      <c r="ABD41" s="501"/>
      <c r="ABE41" s="501"/>
      <c r="ABF41" s="501"/>
      <c r="ABG41" s="501"/>
      <c r="ABH41" s="501"/>
      <c r="ABI41" s="501"/>
      <c r="ABJ41" s="501"/>
      <c r="ABK41" s="501"/>
      <c r="ABL41" s="501"/>
      <c r="ABM41" s="501"/>
      <c r="ABN41" s="501"/>
      <c r="ABO41" s="501"/>
      <c r="ABP41" s="501"/>
      <c r="ABQ41" s="501"/>
      <c r="ABR41" s="501"/>
      <c r="ABS41" s="501"/>
      <c r="ABT41" s="501"/>
      <c r="ABU41" s="501"/>
      <c r="ABV41" s="501"/>
      <c r="ABW41" s="501"/>
      <c r="ABX41" s="501"/>
      <c r="ABY41" s="501"/>
      <c r="ABZ41" s="501"/>
      <c r="ACA41" s="501"/>
      <c r="ACB41" s="501"/>
      <c r="ACC41" s="501"/>
      <c r="ACD41" s="501"/>
      <c r="ACE41" s="501"/>
      <c r="ACF41" s="501"/>
      <c r="ACG41" s="501"/>
      <c r="ACH41" s="501"/>
      <c r="ACI41" s="501"/>
      <c r="ACJ41" s="501"/>
      <c r="ACK41" s="501"/>
      <c r="ACL41" s="501"/>
      <c r="ACM41" s="501"/>
      <c r="ACN41" s="501"/>
      <c r="ACO41" s="501"/>
      <c r="ACP41" s="501"/>
      <c r="ACQ41" s="501"/>
      <c r="ACR41" s="501"/>
      <c r="ACS41" s="501"/>
      <c r="ACT41" s="501"/>
      <c r="ACU41" s="501"/>
      <c r="ACV41" s="501"/>
      <c r="ACW41" s="501"/>
      <c r="ACX41" s="501"/>
      <c r="ACY41" s="501"/>
      <c r="ACZ41" s="501"/>
      <c r="ADA41" s="501"/>
      <c r="ADB41" s="501"/>
      <c r="ADC41" s="501"/>
      <c r="ADD41" s="501"/>
      <c r="ADE41" s="501"/>
      <c r="ADF41" s="501"/>
      <c r="ADG41" s="501"/>
      <c r="ADH41" s="501"/>
      <c r="ADI41" s="501"/>
      <c r="ADJ41" s="501"/>
      <c r="ADK41" s="501"/>
      <c r="ADL41" s="501"/>
      <c r="ADM41" s="501"/>
      <c r="ADN41" s="501"/>
      <c r="ADO41" s="501"/>
      <c r="ADP41" s="501"/>
      <c r="ADQ41" s="501"/>
      <c r="ADR41" s="501"/>
      <c r="ADS41" s="501"/>
      <c r="ADT41" s="501"/>
      <c r="ADU41" s="501"/>
      <c r="ADV41" s="501"/>
      <c r="ADW41" s="501"/>
      <c r="ADX41" s="501"/>
      <c r="ADY41" s="501"/>
      <c r="ADZ41" s="501"/>
      <c r="AEA41" s="501"/>
      <c r="AEB41" s="501"/>
      <c r="AEC41" s="501"/>
      <c r="AED41" s="501"/>
      <c r="AEE41" s="501"/>
      <c r="AEF41" s="501"/>
      <c r="AEG41" s="501"/>
      <c r="AEH41" s="501"/>
      <c r="AEI41" s="501"/>
      <c r="AEJ41" s="501"/>
      <c r="AEK41" s="501"/>
      <c r="AEL41" s="501"/>
      <c r="AEM41" s="501"/>
      <c r="AEN41" s="501"/>
      <c r="AEO41" s="501"/>
      <c r="AEP41" s="501"/>
      <c r="AEQ41" s="501"/>
      <c r="AER41" s="501"/>
      <c r="AES41" s="501"/>
      <c r="AET41" s="501"/>
      <c r="AEU41" s="501"/>
      <c r="AEV41" s="501"/>
      <c r="AEW41" s="501"/>
      <c r="AEX41" s="501"/>
      <c r="AEY41" s="501"/>
      <c r="AEZ41" s="501"/>
      <c r="AFA41" s="501"/>
      <c r="AFB41" s="501"/>
      <c r="AFC41" s="501"/>
      <c r="AFD41" s="501"/>
      <c r="AFE41" s="501"/>
      <c r="AFF41" s="501"/>
      <c r="AFG41" s="501"/>
      <c r="AFH41" s="501"/>
      <c r="AFI41" s="501"/>
      <c r="AFJ41" s="501"/>
      <c r="AFK41" s="501"/>
      <c r="AFL41" s="501"/>
      <c r="AFM41" s="501"/>
      <c r="AFN41" s="501"/>
      <c r="AFO41" s="501"/>
      <c r="AFP41" s="501"/>
      <c r="AFQ41" s="501"/>
      <c r="AFR41" s="501"/>
      <c r="AFS41" s="501"/>
      <c r="AFT41" s="501"/>
      <c r="AFU41" s="501"/>
      <c r="AFV41" s="501"/>
      <c r="AFW41" s="501"/>
      <c r="AFX41" s="501"/>
      <c r="AFY41" s="501"/>
      <c r="AFZ41" s="501"/>
      <c r="AGA41" s="501"/>
      <c r="AGB41" s="501"/>
      <c r="AGC41" s="501"/>
      <c r="AGD41" s="501"/>
      <c r="AGE41" s="501"/>
      <c r="AGF41" s="501"/>
      <c r="AGG41" s="501"/>
      <c r="AGH41" s="501"/>
      <c r="AGI41" s="501"/>
      <c r="AGJ41" s="501"/>
      <c r="AGK41" s="501"/>
      <c r="AGL41" s="501"/>
      <c r="AGM41" s="501"/>
      <c r="AGN41" s="501"/>
      <c r="AGO41" s="501"/>
      <c r="AGP41" s="501"/>
      <c r="AGQ41" s="501"/>
      <c r="AGR41" s="501"/>
      <c r="AGS41" s="501"/>
      <c r="AGT41" s="501"/>
      <c r="AGU41" s="501"/>
      <c r="AGV41" s="501"/>
      <c r="AGW41" s="501"/>
      <c r="AGX41" s="501"/>
      <c r="AGY41" s="501"/>
      <c r="AGZ41" s="501"/>
      <c r="AHA41" s="501"/>
      <c r="AHB41" s="501"/>
      <c r="AHC41" s="501"/>
      <c r="AHD41" s="501"/>
      <c r="AHE41" s="501"/>
      <c r="AHF41" s="501"/>
      <c r="AHG41" s="501"/>
      <c r="AHH41" s="501"/>
      <c r="AHI41" s="501"/>
      <c r="AHJ41" s="501"/>
      <c r="AHK41" s="501"/>
      <c r="AHL41" s="501"/>
      <c r="AHM41" s="501"/>
      <c r="AHN41" s="501"/>
      <c r="AHO41" s="501"/>
      <c r="AHP41" s="501"/>
      <c r="AHQ41" s="501"/>
      <c r="AHR41" s="501"/>
      <c r="AHS41" s="501"/>
      <c r="AHT41" s="501"/>
      <c r="AHU41" s="501"/>
      <c r="AHV41" s="501"/>
      <c r="AHW41" s="501"/>
      <c r="AHX41" s="501"/>
      <c r="AHY41" s="501"/>
      <c r="AHZ41" s="501"/>
      <c r="AIA41" s="501"/>
      <c r="AIB41" s="501"/>
      <c r="AIC41" s="501"/>
      <c r="AID41" s="501"/>
      <c r="AIE41" s="501"/>
      <c r="AIF41" s="501"/>
      <c r="AIG41" s="501"/>
      <c r="AIH41" s="501"/>
      <c r="AII41" s="501"/>
      <c r="AIJ41" s="501"/>
      <c r="AIK41" s="501"/>
      <c r="AIL41" s="501"/>
      <c r="AIM41" s="501"/>
      <c r="AIN41" s="501"/>
      <c r="AIO41" s="501"/>
      <c r="AIP41" s="501"/>
      <c r="AIQ41" s="501"/>
      <c r="AIR41" s="501"/>
      <c r="AIS41" s="501"/>
      <c r="AIT41" s="501"/>
      <c r="AIU41" s="501"/>
      <c r="AIV41" s="501"/>
      <c r="AIW41" s="501"/>
      <c r="AIX41" s="501"/>
      <c r="AIY41" s="501"/>
      <c r="AIZ41" s="501"/>
      <c r="AJA41" s="501"/>
      <c r="AJB41" s="501"/>
      <c r="AJC41" s="501"/>
      <c r="AJD41" s="501"/>
      <c r="AJE41" s="501"/>
      <c r="AJF41" s="501"/>
      <c r="AJG41" s="501"/>
      <c r="AJH41" s="501"/>
      <c r="AJI41" s="501"/>
      <c r="AJJ41" s="501"/>
      <c r="AJK41" s="501"/>
      <c r="AJL41" s="501"/>
      <c r="AJM41" s="501"/>
      <c r="AJN41" s="501"/>
      <c r="AJO41" s="501"/>
      <c r="AJP41" s="501"/>
      <c r="AJQ41" s="501"/>
      <c r="AJR41" s="501"/>
      <c r="AJS41" s="501"/>
      <c r="AJT41" s="501"/>
      <c r="AJU41" s="501"/>
      <c r="AJV41" s="501"/>
      <c r="AJW41" s="501"/>
      <c r="AJX41" s="501"/>
      <c r="AJY41" s="501"/>
      <c r="AJZ41" s="501"/>
      <c r="AKA41" s="501"/>
      <c r="AKB41" s="501"/>
      <c r="AKC41" s="501"/>
      <c r="AKD41" s="501"/>
      <c r="AKE41" s="501"/>
      <c r="AKF41" s="501"/>
      <c r="AKG41" s="501"/>
      <c r="AKH41" s="501"/>
      <c r="AKI41" s="501"/>
      <c r="AKJ41" s="501"/>
      <c r="AKK41" s="501"/>
      <c r="AKL41" s="501"/>
      <c r="AKM41" s="501"/>
      <c r="AKN41" s="501"/>
      <c r="AKO41" s="501"/>
      <c r="AKP41" s="501"/>
      <c r="AKQ41" s="501"/>
      <c r="AKR41" s="501"/>
      <c r="AKS41" s="501"/>
      <c r="AKT41" s="501"/>
      <c r="AKU41" s="501"/>
      <c r="AKV41" s="501"/>
      <c r="AKW41" s="501"/>
      <c r="AKX41" s="501"/>
      <c r="AKY41" s="501"/>
      <c r="AKZ41" s="501"/>
      <c r="ALA41" s="501"/>
      <c r="ALB41" s="501"/>
      <c r="ALC41" s="501"/>
      <c r="ALD41" s="501"/>
      <c r="ALE41" s="501"/>
      <c r="ALF41" s="501"/>
      <c r="ALG41" s="501"/>
      <c r="ALH41" s="501"/>
      <c r="ALI41" s="501"/>
      <c r="ALJ41" s="501"/>
      <c r="ALK41" s="501"/>
      <c r="ALL41" s="501"/>
      <c r="ALM41" s="501"/>
      <c r="ALN41" s="501"/>
      <c r="ALO41" s="501"/>
      <c r="ALP41" s="501"/>
      <c r="ALQ41" s="501"/>
      <c r="ALR41" s="501"/>
      <c r="ALS41" s="501"/>
      <c r="ALT41" s="501"/>
      <c r="ALU41" s="501"/>
      <c r="ALV41" s="501"/>
      <c r="ALW41" s="501"/>
      <c r="ALX41" s="501"/>
      <c r="ALY41" s="501"/>
      <c r="ALZ41" s="501"/>
      <c r="AMA41" s="501"/>
      <c r="AMB41" s="501"/>
      <c r="AMC41" s="501"/>
      <c r="AMD41" s="501"/>
      <c r="AME41" s="501"/>
      <c r="AMF41" s="501"/>
      <c r="AMG41" s="501"/>
      <c r="AMH41" s="501"/>
      <c r="AMI41" s="501"/>
      <c r="AMJ41" s="501"/>
      <c r="AMK41" s="501"/>
      <c r="AML41" s="501"/>
      <c r="AMM41" s="501"/>
      <c r="AMN41" s="501"/>
      <c r="AMO41" s="501"/>
      <c r="AMP41" s="501"/>
      <c r="AMQ41" s="501"/>
      <c r="AMR41" s="501"/>
      <c r="AMS41" s="501"/>
      <c r="AMT41" s="501"/>
      <c r="AMU41" s="501"/>
      <c r="AMV41" s="501"/>
      <c r="AMW41" s="501"/>
      <c r="AMX41" s="501"/>
      <c r="AMY41" s="501"/>
      <c r="AMZ41" s="501"/>
      <c r="ANA41" s="501"/>
      <c r="ANB41" s="501"/>
      <c r="ANC41" s="501"/>
      <c r="AND41" s="501"/>
      <c r="ANE41" s="501"/>
      <c r="ANF41" s="501"/>
      <c r="ANG41" s="501"/>
      <c r="ANH41" s="501"/>
      <c r="ANI41" s="501"/>
      <c r="ANJ41" s="501"/>
      <c r="ANK41" s="501"/>
      <c r="ANL41" s="501"/>
      <c r="ANM41" s="501"/>
      <c r="ANN41" s="501"/>
      <c r="ANO41" s="501"/>
      <c r="ANP41" s="501"/>
      <c r="ANQ41" s="501"/>
      <c r="ANR41" s="501"/>
      <c r="ANS41" s="501"/>
      <c r="ANT41" s="501"/>
      <c r="ANU41" s="501"/>
      <c r="ANV41" s="501"/>
      <c r="ANW41" s="501"/>
      <c r="ANX41" s="501"/>
      <c r="ANY41" s="501"/>
      <c r="ANZ41" s="501"/>
      <c r="AOA41" s="501"/>
      <c r="AOB41" s="501"/>
      <c r="AOC41" s="501"/>
      <c r="AOD41" s="501"/>
      <c r="AOE41" s="501"/>
      <c r="AOF41" s="501"/>
      <c r="AOG41" s="501"/>
      <c r="AOH41" s="501"/>
      <c r="AOI41" s="501"/>
      <c r="AOJ41" s="501"/>
      <c r="AOK41" s="501"/>
      <c r="AOL41" s="501"/>
      <c r="AOM41" s="501"/>
      <c r="AON41" s="501"/>
      <c r="AOO41" s="501"/>
      <c r="AOP41" s="501"/>
      <c r="AOQ41" s="501"/>
      <c r="AOR41" s="501"/>
      <c r="AOS41" s="501"/>
      <c r="AOT41" s="501"/>
      <c r="AOU41" s="501"/>
      <c r="AOV41" s="501"/>
      <c r="AOW41" s="501"/>
      <c r="AOX41" s="501"/>
      <c r="AOY41" s="501"/>
      <c r="AOZ41" s="501"/>
      <c r="APA41" s="501"/>
      <c r="APB41" s="501"/>
      <c r="APC41" s="501"/>
      <c r="APD41" s="501"/>
      <c r="APE41" s="501"/>
      <c r="APF41" s="501"/>
      <c r="APG41" s="501"/>
      <c r="APH41" s="501"/>
      <c r="API41" s="501"/>
      <c r="APJ41" s="501"/>
      <c r="APK41" s="501"/>
      <c r="APL41" s="501"/>
      <c r="APM41" s="501"/>
      <c r="APN41" s="501"/>
      <c r="APO41" s="501"/>
      <c r="APP41" s="501"/>
      <c r="APQ41" s="501"/>
      <c r="APR41" s="501"/>
      <c r="APS41" s="501"/>
      <c r="APT41" s="501"/>
      <c r="APU41" s="501"/>
      <c r="APV41" s="501"/>
      <c r="APW41" s="501"/>
      <c r="APX41" s="501"/>
      <c r="APY41" s="501"/>
      <c r="APZ41" s="501"/>
      <c r="AQA41" s="501"/>
      <c r="AQB41" s="501"/>
      <c r="AQC41" s="501"/>
      <c r="AQD41" s="501"/>
      <c r="AQE41" s="501"/>
      <c r="AQF41" s="501"/>
      <c r="AQG41" s="501"/>
      <c r="AQH41" s="501"/>
      <c r="AQI41" s="501"/>
      <c r="AQJ41" s="501"/>
      <c r="AQK41" s="501"/>
      <c r="AQL41" s="501"/>
      <c r="AQM41" s="501"/>
      <c r="AQN41" s="501"/>
      <c r="AQO41" s="501"/>
      <c r="AQP41" s="501"/>
      <c r="AQQ41" s="501"/>
      <c r="AQR41" s="501"/>
      <c r="AQS41" s="501"/>
      <c r="AQT41" s="501"/>
      <c r="AQU41" s="501"/>
      <c r="AQV41" s="501"/>
      <c r="AQW41" s="501"/>
      <c r="AQX41" s="501"/>
      <c r="AQY41" s="501"/>
      <c r="AQZ41" s="501"/>
      <c r="ARA41" s="501"/>
      <c r="ARB41" s="501"/>
      <c r="ARC41" s="501"/>
      <c r="ARD41" s="501"/>
      <c r="ARE41" s="501"/>
      <c r="ARF41" s="501"/>
      <c r="ARG41" s="501"/>
      <c r="ARH41" s="501"/>
      <c r="ARI41" s="501"/>
      <c r="ARJ41" s="501"/>
      <c r="ARK41" s="501"/>
      <c r="ARL41" s="501"/>
      <c r="ARM41" s="501"/>
      <c r="ARN41" s="501"/>
      <c r="ARO41" s="501"/>
      <c r="ARP41" s="501"/>
      <c r="ARQ41" s="501"/>
      <c r="ARR41" s="501"/>
      <c r="ARS41" s="501"/>
      <c r="ART41" s="501"/>
      <c r="ARU41" s="501"/>
      <c r="ARV41" s="501"/>
      <c r="ARW41" s="501"/>
      <c r="ARX41" s="501"/>
      <c r="ARY41" s="501"/>
      <c r="ARZ41" s="501"/>
      <c r="ASA41" s="501"/>
      <c r="ASB41" s="501"/>
      <c r="ASC41" s="501"/>
      <c r="ASD41" s="501"/>
      <c r="ASE41" s="501"/>
      <c r="ASF41" s="501"/>
      <c r="ASG41" s="501"/>
      <c r="ASH41" s="501"/>
      <c r="ASI41" s="501"/>
      <c r="ASJ41" s="501"/>
      <c r="ASK41" s="501"/>
      <c r="ASL41" s="501"/>
      <c r="ASM41" s="501"/>
      <c r="ASN41" s="501"/>
      <c r="ASO41" s="501"/>
      <c r="ASP41" s="501"/>
      <c r="ASQ41" s="501"/>
      <c r="ASR41" s="501"/>
      <c r="ASS41" s="501"/>
      <c r="AST41" s="501"/>
      <c r="ASU41" s="501"/>
      <c r="ASV41" s="501"/>
      <c r="ASW41" s="501"/>
      <c r="ASX41" s="501"/>
      <c r="ASY41" s="501"/>
      <c r="ASZ41" s="501"/>
      <c r="ATA41" s="501"/>
      <c r="ATB41" s="501"/>
      <c r="ATC41" s="501"/>
      <c r="ATD41" s="501"/>
      <c r="ATE41" s="501"/>
      <c r="ATF41" s="501"/>
      <c r="ATG41" s="501"/>
      <c r="ATH41" s="501"/>
      <c r="ATI41" s="501"/>
      <c r="ATJ41" s="501"/>
      <c r="ATK41" s="501"/>
      <c r="ATL41" s="501"/>
      <c r="ATM41" s="501"/>
      <c r="ATN41" s="501"/>
      <c r="ATO41" s="501"/>
      <c r="ATP41" s="501"/>
      <c r="ATQ41" s="501"/>
      <c r="ATR41" s="501"/>
      <c r="ATS41" s="501"/>
      <c r="ATT41" s="501"/>
      <c r="ATU41" s="501"/>
      <c r="ATV41" s="501"/>
      <c r="ATW41" s="501"/>
      <c r="ATX41" s="501"/>
      <c r="ATY41" s="501"/>
      <c r="ATZ41" s="501"/>
      <c r="AUA41" s="501"/>
      <c r="AUB41" s="501"/>
      <c r="AUC41" s="501"/>
      <c r="AUD41" s="501"/>
      <c r="AUE41" s="501"/>
      <c r="AUF41" s="501"/>
      <c r="AUG41" s="501"/>
      <c r="AUH41" s="501"/>
      <c r="AUI41" s="501"/>
      <c r="AUJ41" s="501"/>
      <c r="AUK41" s="501"/>
      <c r="AUL41" s="501"/>
      <c r="AUM41" s="501"/>
      <c r="AUN41" s="501"/>
      <c r="AUO41" s="501"/>
      <c r="AUP41" s="501"/>
      <c r="AUQ41" s="501"/>
      <c r="AUR41" s="501"/>
      <c r="AUS41" s="501"/>
      <c r="AUT41" s="501"/>
      <c r="AUU41" s="501"/>
      <c r="AUV41" s="501"/>
      <c r="AUW41" s="501"/>
      <c r="AUX41" s="501"/>
      <c r="AUY41" s="501"/>
      <c r="AUZ41" s="501"/>
      <c r="AVA41" s="501"/>
      <c r="AVB41" s="501"/>
      <c r="AVC41" s="501"/>
      <c r="AVD41" s="501"/>
      <c r="AVE41" s="501"/>
      <c r="AVF41" s="501"/>
      <c r="AVG41" s="501"/>
      <c r="AVH41" s="501"/>
      <c r="AVI41" s="501"/>
      <c r="AVJ41" s="501"/>
      <c r="AVK41" s="501"/>
      <c r="AVL41" s="501"/>
      <c r="AVM41" s="501"/>
      <c r="AVN41" s="501"/>
      <c r="AVO41" s="501"/>
      <c r="AVP41" s="501"/>
      <c r="AVQ41" s="501"/>
      <c r="AVR41" s="501"/>
      <c r="AVS41" s="501"/>
      <c r="AVT41" s="501"/>
      <c r="AVU41" s="501"/>
      <c r="AVV41" s="501"/>
      <c r="AVW41" s="501"/>
      <c r="AVX41" s="501"/>
      <c r="AVY41" s="501"/>
      <c r="AVZ41" s="501"/>
      <c r="AWA41" s="501"/>
      <c r="AWB41" s="501"/>
      <c r="AWC41" s="501"/>
      <c r="AWD41" s="501"/>
      <c r="AWE41" s="501"/>
      <c r="AWF41" s="501"/>
      <c r="AWG41" s="501"/>
      <c r="AWH41" s="501"/>
      <c r="AWI41" s="501"/>
      <c r="AWJ41" s="501"/>
      <c r="AWK41" s="501"/>
      <c r="AWL41" s="501"/>
      <c r="AWM41" s="501"/>
      <c r="AWN41" s="501"/>
      <c r="AWO41" s="501"/>
      <c r="AWP41" s="501"/>
      <c r="AWQ41" s="501"/>
      <c r="AWR41" s="501"/>
      <c r="AWS41" s="501"/>
      <c r="AWT41" s="501"/>
      <c r="AWU41" s="501"/>
      <c r="AWV41" s="501"/>
      <c r="AWW41" s="501"/>
      <c r="AWX41" s="501"/>
      <c r="AWY41" s="501"/>
      <c r="AWZ41" s="501"/>
      <c r="AXA41" s="501"/>
      <c r="AXB41" s="501"/>
      <c r="AXC41" s="501"/>
      <c r="AXD41" s="501"/>
      <c r="AXE41" s="501"/>
      <c r="AXF41" s="501"/>
      <c r="AXG41" s="501"/>
      <c r="AXH41" s="501"/>
      <c r="AXI41" s="501"/>
      <c r="AXJ41" s="501"/>
      <c r="AXK41" s="501"/>
      <c r="AXL41" s="501"/>
      <c r="AXM41" s="501"/>
      <c r="AXN41" s="501"/>
      <c r="AXO41" s="501"/>
      <c r="AXP41" s="501"/>
      <c r="AXQ41" s="501"/>
      <c r="AXR41" s="501"/>
      <c r="AXS41" s="501"/>
      <c r="AXT41" s="501"/>
      <c r="AXU41" s="501"/>
      <c r="AXV41" s="501"/>
      <c r="AXW41" s="501"/>
      <c r="AXX41" s="501"/>
      <c r="AXY41" s="501"/>
      <c r="AXZ41" s="501"/>
      <c r="AYA41" s="501"/>
      <c r="AYB41" s="501"/>
      <c r="AYC41" s="501"/>
      <c r="AYD41" s="501"/>
      <c r="AYE41" s="501"/>
      <c r="AYF41" s="501"/>
      <c r="AYG41" s="501"/>
      <c r="AYH41" s="501"/>
      <c r="AYI41" s="501"/>
      <c r="AYJ41" s="501"/>
      <c r="AYK41" s="501"/>
      <c r="AYL41" s="501"/>
      <c r="AYM41" s="501"/>
      <c r="AYN41" s="501"/>
      <c r="AYO41" s="501"/>
      <c r="AYP41" s="501"/>
      <c r="AYQ41" s="501"/>
      <c r="AYR41" s="501"/>
      <c r="AYS41" s="501"/>
      <c r="AYT41" s="501"/>
      <c r="AYU41" s="501"/>
      <c r="AYV41" s="501"/>
      <c r="AYW41" s="501"/>
      <c r="AYX41" s="501"/>
      <c r="AYY41" s="501"/>
      <c r="AYZ41" s="501"/>
      <c r="AZA41" s="501"/>
      <c r="AZB41" s="501"/>
      <c r="AZC41" s="501"/>
      <c r="AZD41" s="501"/>
      <c r="AZE41" s="501"/>
      <c r="AZF41" s="501"/>
      <c r="AZG41" s="501"/>
      <c r="AZH41" s="501"/>
      <c r="AZI41" s="501"/>
      <c r="AZJ41" s="501"/>
      <c r="AZK41" s="501"/>
      <c r="AZL41" s="501"/>
      <c r="AZM41" s="501"/>
      <c r="AZN41" s="501"/>
      <c r="AZO41" s="501"/>
      <c r="AZP41" s="501"/>
      <c r="AZQ41" s="501"/>
      <c r="AZR41" s="501"/>
      <c r="AZS41" s="501"/>
      <c r="AZT41" s="501"/>
      <c r="AZU41" s="501"/>
      <c r="AZV41" s="501"/>
      <c r="AZW41" s="501"/>
      <c r="AZX41" s="501"/>
      <c r="AZY41" s="501"/>
      <c r="AZZ41" s="501"/>
      <c r="BAA41" s="501"/>
      <c r="BAB41" s="501"/>
      <c r="BAC41" s="501"/>
      <c r="BAD41" s="501"/>
      <c r="BAE41" s="501"/>
      <c r="BAF41" s="501"/>
      <c r="BAG41" s="501"/>
      <c r="BAH41" s="501"/>
      <c r="BAI41" s="501"/>
      <c r="BAJ41" s="501"/>
      <c r="BAK41" s="501"/>
      <c r="BAL41" s="501"/>
      <c r="BAM41" s="501"/>
      <c r="BAN41" s="501"/>
      <c r="BAO41" s="501"/>
      <c r="BAP41" s="501"/>
      <c r="BAQ41" s="501"/>
      <c r="BAR41" s="501"/>
      <c r="BAS41" s="501"/>
      <c r="BAT41" s="501"/>
      <c r="BAU41" s="501"/>
      <c r="BAV41" s="501"/>
      <c r="BAW41" s="501"/>
      <c r="BAX41" s="501"/>
      <c r="BAY41" s="501"/>
      <c r="BAZ41" s="501"/>
      <c r="BBA41" s="501"/>
      <c r="BBB41" s="501"/>
      <c r="BBC41" s="501"/>
      <c r="BBD41" s="501"/>
      <c r="BBE41" s="501"/>
      <c r="BBF41" s="501"/>
      <c r="BBG41" s="501"/>
      <c r="BBH41" s="501"/>
      <c r="BBI41" s="501"/>
      <c r="BBJ41" s="501"/>
      <c r="BBK41" s="501"/>
      <c r="BBL41" s="501"/>
      <c r="BBM41" s="501"/>
      <c r="BBN41" s="501"/>
      <c r="BBO41" s="501"/>
      <c r="BBP41" s="501"/>
      <c r="BBQ41" s="501"/>
      <c r="BBR41" s="501"/>
      <c r="BBS41" s="501"/>
      <c r="BBT41" s="501"/>
      <c r="BBU41" s="501"/>
      <c r="BBV41" s="501"/>
      <c r="BBW41" s="501"/>
      <c r="BBX41" s="501"/>
      <c r="BBY41" s="501"/>
      <c r="BBZ41" s="501"/>
      <c r="BCA41" s="501"/>
      <c r="BCB41" s="501"/>
      <c r="BCC41" s="501"/>
      <c r="BCD41" s="501"/>
      <c r="BCE41" s="501"/>
      <c r="BCF41" s="501"/>
      <c r="BCG41" s="501"/>
      <c r="BCH41" s="501"/>
      <c r="BCI41" s="501"/>
      <c r="BCJ41" s="501"/>
      <c r="BCK41" s="501"/>
      <c r="BCL41" s="501"/>
      <c r="BCM41" s="501"/>
      <c r="BCN41" s="501"/>
      <c r="BCO41" s="501"/>
      <c r="BCP41" s="501"/>
      <c r="BCQ41" s="501"/>
      <c r="BCR41" s="501"/>
      <c r="BCS41" s="501"/>
      <c r="BCT41" s="501"/>
      <c r="BCU41" s="501"/>
      <c r="BCV41" s="501"/>
      <c r="BCW41" s="501"/>
      <c r="BCX41" s="501"/>
      <c r="BCY41" s="501"/>
      <c r="BCZ41" s="501"/>
      <c r="BDA41" s="501"/>
      <c r="BDB41" s="501"/>
      <c r="BDC41" s="501"/>
      <c r="BDD41" s="501"/>
      <c r="BDE41" s="501"/>
      <c r="BDF41" s="501"/>
      <c r="BDG41" s="501"/>
      <c r="BDH41" s="501"/>
      <c r="BDI41" s="501"/>
      <c r="BDJ41" s="501"/>
      <c r="BDK41" s="501"/>
      <c r="BDL41" s="501"/>
      <c r="BDM41" s="501"/>
      <c r="BDN41" s="501"/>
      <c r="BDO41" s="501"/>
      <c r="BDP41" s="501"/>
      <c r="BDQ41" s="501"/>
      <c r="BDR41" s="501"/>
      <c r="BDS41" s="501"/>
      <c r="BDT41" s="501"/>
      <c r="BDU41" s="501"/>
      <c r="BDV41" s="501"/>
      <c r="BDW41" s="501"/>
      <c r="BDX41" s="501"/>
      <c r="BDY41" s="501"/>
      <c r="BDZ41" s="501"/>
      <c r="BEA41" s="501"/>
      <c r="BEB41" s="501"/>
      <c r="BEC41" s="501"/>
      <c r="BED41" s="501"/>
      <c r="BEE41" s="501"/>
      <c r="BEF41" s="501"/>
      <c r="BEG41" s="501"/>
      <c r="BEH41" s="501"/>
      <c r="BEI41" s="501"/>
      <c r="BEJ41" s="501"/>
      <c r="BEK41" s="501"/>
      <c r="BEL41" s="501"/>
      <c r="BEM41" s="501"/>
      <c r="BEN41" s="501"/>
      <c r="BEO41" s="501"/>
      <c r="BEP41" s="501"/>
      <c r="BEQ41" s="501"/>
      <c r="BER41" s="501"/>
      <c r="BES41" s="501"/>
      <c r="BET41" s="501"/>
      <c r="BEU41" s="501"/>
      <c r="BEV41" s="501"/>
      <c r="BEW41" s="501"/>
      <c r="BEX41" s="501"/>
      <c r="BEY41" s="501"/>
      <c r="BEZ41" s="501"/>
      <c r="BFA41" s="501"/>
      <c r="BFB41" s="501"/>
      <c r="BFC41" s="501"/>
      <c r="BFD41" s="501"/>
      <c r="BFE41" s="501"/>
      <c r="BFF41" s="501"/>
      <c r="BFG41" s="501"/>
      <c r="BFH41" s="501"/>
      <c r="BFI41" s="501"/>
      <c r="BFJ41" s="501"/>
      <c r="BFK41" s="501"/>
      <c r="BFL41" s="501"/>
      <c r="BFM41" s="501"/>
      <c r="BFN41" s="501"/>
      <c r="BFO41" s="501"/>
      <c r="BFP41" s="501"/>
      <c r="BFQ41" s="501"/>
      <c r="BFR41" s="501"/>
      <c r="BFS41" s="501"/>
      <c r="BFT41" s="501"/>
      <c r="BFU41" s="501"/>
      <c r="BFV41" s="501"/>
      <c r="BFW41" s="501"/>
      <c r="BFX41" s="501"/>
      <c r="BFY41" s="501"/>
      <c r="BFZ41" s="501"/>
      <c r="BGA41" s="501"/>
      <c r="BGB41" s="501"/>
      <c r="BGC41" s="501"/>
      <c r="BGD41" s="501"/>
      <c r="BGE41" s="501"/>
      <c r="BGF41" s="501"/>
      <c r="BGG41" s="501"/>
      <c r="BGH41" s="501"/>
      <c r="BGI41" s="501"/>
      <c r="BGJ41" s="501"/>
      <c r="BGK41" s="501"/>
      <c r="BGL41" s="501"/>
      <c r="BGM41" s="501"/>
      <c r="BGN41" s="501"/>
      <c r="BGO41" s="501"/>
      <c r="BGP41" s="501"/>
      <c r="BGQ41" s="501"/>
      <c r="BGR41" s="501"/>
      <c r="BGS41" s="501"/>
      <c r="BGT41" s="501"/>
      <c r="BGU41" s="501"/>
      <c r="BGV41" s="501"/>
      <c r="BGW41" s="501"/>
      <c r="BGX41" s="501"/>
      <c r="BGY41" s="501"/>
      <c r="BGZ41" s="501"/>
      <c r="BHA41" s="501"/>
      <c r="BHB41" s="501"/>
      <c r="BHC41" s="501"/>
      <c r="BHD41" s="501"/>
      <c r="BHE41" s="501"/>
      <c r="BHF41" s="501"/>
      <c r="BHG41" s="501"/>
      <c r="BHH41" s="501"/>
      <c r="BHI41" s="501"/>
      <c r="BHJ41" s="501"/>
      <c r="BHK41" s="501"/>
      <c r="BHL41" s="501"/>
      <c r="BHM41" s="501"/>
      <c r="BHN41" s="501"/>
      <c r="BHO41" s="501"/>
      <c r="BHP41" s="501"/>
      <c r="BHQ41" s="501"/>
      <c r="BHR41" s="501"/>
      <c r="BHS41" s="501"/>
      <c r="BHT41" s="501"/>
      <c r="BHU41" s="501"/>
      <c r="BHV41" s="501"/>
      <c r="BHW41" s="501"/>
      <c r="BHX41" s="501"/>
      <c r="BHY41" s="501"/>
      <c r="BHZ41" s="501"/>
      <c r="BIA41" s="501"/>
      <c r="BIB41" s="501"/>
      <c r="BIC41" s="501"/>
      <c r="BID41" s="501"/>
      <c r="BIE41" s="501"/>
      <c r="BIF41" s="501"/>
      <c r="BIG41" s="501"/>
      <c r="BIH41" s="501"/>
      <c r="BII41" s="501"/>
      <c r="BIJ41" s="501"/>
      <c r="BIK41" s="501"/>
      <c r="BIL41" s="501"/>
      <c r="BIM41" s="501"/>
      <c r="BIN41" s="501"/>
      <c r="BIO41" s="501"/>
      <c r="BIP41" s="501"/>
      <c r="BIQ41" s="501"/>
      <c r="BIR41" s="501"/>
      <c r="BIS41" s="501"/>
      <c r="BIT41" s="501"/>
      <c r="BIU41" s="501"/>
      <c r="BIV41" s="501"/>
      <c r="BIW41" s="501"/>
      <c r="BIX41" s="501"/>
      <c r="BIY41" s="501"/>
      <c r="BIZ41" s="501"/>
      <c r="BJA41" s="501"/>
      <c r="BJB41" s="501"/>
      <c r="BJC41" s="501"/>
      <c r="BJD41" s="501"/>
      <c r="BJE41" s="501"/>
      <c r="BJF41" s="501"/>
      <c r="BJG41" s="501"/>
      <c r="BJH41" s="501"/>
      <c r="BJI41" s="501"/>
      <c r="BJJ41" s="501"/>
      <c r="BJK41" s="501"/>
      <c r="BJL41" s="501"/>
      <c r="BJM41" s="501"/>
      <c r="BJN41" s="501"/>
      <c r="BJO41" s="501"/>
      <c r="BJP41" s="501"/>
      <c r="BJQ41" s="501"/>
      <c r="BJR41" s="501"/>
      <c r="BJS41" s="501"/>
      <c r="BJT41" s="501"/>
      <c r="BJU41" s="501"/>
      <c r="BJV41" s="501"/>
      <c r="BJW41" s="501"/>
      <c r="BJX41" s="501"/>
      <c r="BJY41" s="501"/>
      <c r="BJZ41" s="501"/>
      <c r="BKA41" s="501"/>
      <c r="BKB41" s="501"/>
      <c r="BKC41" s="501"/>
      <c r="BKD41" s="501"/>
      <c r="BKE41" s="501"/>
      <c r="BKF41" s="501"/>
      <c r="BKG41" s="501"/>
      <c r="BKH41" s="501"/>
      <c r="BKI41" s="501"/>
      <c r="BKJ41" s="501"/>
      <c r="BKK41" s="501"/>
      <c r="BKL41" s="501"/>
      <c r="BKM41" s="501"/>
      <c r="BKN41" s="501"/>
      <c r="BKO41" s="501"/>
      <c r="BKP41" s="501"/>
      <c r="BKQ41" s="501"/>
      <c r="BKR41" s="501"/>
      <c r="BKS41" s="501"/>
      <c r="BKT41" s="501"/>
      <c r="BKU41" s="501"/>
      <c r="BKV41" s="501"/>
      <c r="BKW41" s="501"/>
      <c r="BKX41" s="501"/>
      <c r="BKY41" s="501"/>
      <c r="BKZ41" s="501"/>
      <c r="BLA41" s="501"/>
      <c r="BLB41" s="501"/>
      <c r="BLC41" s="501"/>
      <c r="BLD41" s="501"/>
      <c r="BLE41" s="501"/>
      <c r="BLF41" s="501"/>
      <c r="BLG41" s="501"/>
      <c r="BLH41" s="501"/>
      <c r="BLI41" s="501"/>
      <c r="BLJ41" s="501"/>
      <c r="BLK41" s="501"/>
      <c r="BLL41" s="501"/>
      <c r="BLM41" s="501"/>
      <c r="BLN41" s="501"/>
      <c r="BLO41" s="501"/>
      <c r="BLP41" s="501"/>
      <c r="BLQ41" s="501"/>
      <c r="BLR41" s="501"/>
      <c r="BLS41" s="501"/>
      <c r="BLT41" s="501"/>
      <c r="BLU41" s="501"/>
      <c r="BLV41" s="501"/>
      <c r="BLW41" s="501"/>
      <c r="BLX41" s="501"/>
      <c r="BLY41" s="501"/>
      <c r="BLZ41" s="501"/>
      <c r="BMA41" s="501"/>
      <c r="BMB41" s="501"/>
      <c r="BMC41" s="501"/>
      <c r="BMD41" s="501"/>
      <c r="BME41" s="501"/>
      <c r="BMF41" s="501"/>
      <c r="BMG41" s="501"/>
      <c r="BMH41" s="501"/>
      <c r="BMI41" s="501"/>
      <c r="BMJ41" s="501"/>
      <c r="BMK41" s="501"/>
      <c r="BML41" s="501"/>
      <c r="BMM41" s="501"/>
      <c r="BMN41" s="501"/>
      <c r="BMO41" s="501"/>
      <c r="BMP41" s="501"/>
      <c r="BMQ41" s="501"/>
      <c r="BMR41" s="501"/>
      <c r="BMS41" s="501"/>
      <c r="BMT41" s="501"/>
      <c r="BMU41" s="501"/>
      <c r="BMV41" s="501"/>
      <c r="BMW41" s="501"/>
      <c r="BMX41" s="501"/>
      <c r="BMY41" s="501"/>
      <c r="BMZ41" s="501"/>
      <c r="BNA41" s="501"/>
      <c r="BNB41" s="501"/>
      <c r="BNC41" s="501"/>
      <c r="BND41" s="501"/>
      <c r="BNE41" s="501"/>
      <c r="BNF41" s="501"/>
      <c r="BNG41" s="501"/>
      <c r="BNH41" s="501"/>
      <c r="BNI41" s="501"/>
      <c r="BNJ41" s="501"/>
      <c r="BNK41" s="501"/>
      <c r="BNL41" s="501"/>
      <c r="BNM41" s="501"/>
      <c r="BNN41" s="501"/>
      <c r="BNO41" s="501"/>
      <c r="BNP41" s="501"/>
      <c r="BNQ41" s="501"/>
      <c r="BNR41" s="501"/>
      <c r="BNS41" s="501"/>
      <c r="BNT41" s="501"/>
      <c r="BNU41" s="501"/>
      <c r="BNV41" s="501"/>
      <c r="BNW41" s="501"/>
      <c r="BNX41" s="501"/>
      <c r="BNY41" s="501"/>
      <c r="BNZ41" s="501"/>
      <c r="BOA41" s="501"/>
      <c r="BOB41" s="501"/>
      <c r="BOC41" s="501"/>
      <c r="BOD41" s="501"/>
      <c r="BOE41" s="501"/>
      <c r="BOF41" s="501"/>
      <c r="BOG41" s="501"/>
      <c r="BOH41" s="501"/>
      <c r="BOI41" s="501"/>
      <c r="BOJ41" s="501"/>
      <c r="BOK41" s="501"/>
      <c r="BOL41" s="501"/>
      <c r="BOM41" s="501"/>
      <c r="BON41" s="501"/>
      <c r="BOO41" s="501"/>
      <c r="BOP41" s="501"/>
      <c r="BOQ41" s="501"/>
      <c r="BOR41" s="501"/>
      <c r="BOS41" s="501"/>
      <c r="BOT41" s="501"/>
      <c r="BOU41" s="501"/>
      <c r="BOV41" s="501"/>
      <c r="BOW41" s="501"/>
      <c r="BOX41" s="501"/>
      <c r="BOY41" s="501"/>
      <c r="BOZ41" s="501"/>
      <c r="BPA41" s="501"/>
      <c r="BPB41" s="501"/>
      <c r="BPC41" s="501"/>
      <c r="BPD41" s="501"/>
      <c r="BPE41" s="501"/>
      <c r="BPF41" s="501"/>
      <c r="BPG41" s="501"/>
      <c r="BPH41" s="501"/>
      <c r="BPI41" s="501"/>
      <c r="BPJ41" s="501"/>
      <c r="BPK41" s="501"/>
      <c r="BPL41" s="501"/>
      <c r="BPM41" s="501"/>
      <c r="BPN41" s="501"/>
      <c r="BPO41" s="501"/>
      <c r="BPP41" s="501"/>
      <c r="BPQ41" s="501"/>
      <c r="BPR41" s="501"/>
      <c r="BPS41" s="501"/>
      <c r="BPT41" s="501"/>
      <c r="BPU41" s="501"/>
      <c r="BPV41" s="501"/>
      <c r="BPW41" s="501"/>
      <c r="BPX41" s="501"/>
      <c r="BPY41" s="501"/>
      <c r="BPZ41" s="501"/>
      <c r="BQA41" s="501"/>
      <c r="BQB41" s="501"/>
      <c r="BQC41" s="501"/>
      <c r="BQD41" s="501"/>
      <c r="BQE41" s="501"/>
      <c r="BQF41" s="501"/>
      <c r="BQG41" s="501"/>
      <c r="BQH41" s="501"/>
      <c r="BQI41" s="501"/>
      <c r="BQJ41" s="501"/>
      <c r="BQK41" s="501"/>
      <c r="BQL41" s="501"/>
      <c r="BQM41" s="501"/>
      <c r="BQN41" s="501"/>
      <c r="BQO41" s="501"/>
      <c r="BQP41" s="501"/>
      <c r="BQQ41" s="501"/>
      <c r="BQR41" s="501"/>
      <c r="BQS41" s="501"/>
      <c r="BQT41" s="501"/>
      <c r="BQU41" s="501"/>
      <c r="BQV41" s="501"/>
      <c r="BQW41" s="501"/>
      <c r="BQX41" s="501"/>
      <c r="BQY41" s="501"/>
      <c r="BQZ41" s="501"/>
      <c r="BRA41" s="501"/>
      <c r="BRB41" s="501"/>
      <c r="BRC41" s="501"/>
      <c r="BRD41" s="501"/>
      <c r="BRE41" s="501"/>
      <c r="BRF41" s="501"/>
      <c r="BRG41" s="501"/>
      <c r="BRH41" s="501"/>
      <c r="BRI41" s="501"/>
      <c r="BRJ41" s="501"/>
      <c r="BRK41" s="501"/>
      <c r="BRL41" s="501"/>
      <c r="BRM41" s="501"/>
      <c r="BRN41" s="501"/>
      <c r="BRO41" s="501"/>
      <c r="BRP41" s="501"/>
      <c r="BRQ41" s="501"/>
      <c r="BRR41" s="501"/>
      <c r="BRS41" s="501"/>
      <c r="BRT41" s="501"/>
      <c r="BRU41" s="501"/>
      <c r="BRV41" s="501"/>
      <c r="BRW41" s="501"/>
      <c r="BRX41" s="501"/>
      <c r="BRY41" s="501"/>
      <c r="BRZ41" s="501"/>
      <c r="BSA41" s="501"/>
      <c r="BSB41" s="501"/>
      <c r="BSC41" s="501"/>
    </row>
    <row r="42" spans="1:1849" ht="15" x14ac:dyDescent="0.2">
      <c r="A42" s="503">
        <v>41</v>
      </c>
      <c r="B42" s="172" t="s">
        <v>25</v>
      </c>
      <c r="C42" s="548" t="s">
        <v>443</v>
      </c>
      <c r="D42" s="170" t="s">
        <v>26</v>
      </c>
      <c r="E42" s="170" t="s">
        <v>27</v>
      </c>
      <c r="F42" s="170">
        <v>40</v>
      </c>
      <c r="G42" s="170">
        <v>30</v>
      </c>
      <c r="H42" s="669">
        <v>40</v>
      </c>
      <c r="I42" s="669">
        <v>31.2</v>
      </c>
      <c r="J42" s="172">
        <v>1</v>
      </c>
      <c r="K42" s="172">
        <f t="shared" si="1"/>
        <v>1200</v>
      </c>
      <c r="L42" s="669" t="s">
        <v>41</v>
      </c>
      <c r="M42" s="667" t="s">
        <v>308</v>
      </c>
      <c r="N42" s="671" t="s">
        <v>45</v>
      </c>
      <c r="O42" s="666">
        <v>79.103831999999997</v>
      </c>
      <c r="P42" s="668">
        <v>140000</v>
      </c>
      <c r="Q42" s="170">
        <v>160000</v>
      </c>
      <c r="R42" s="170">
        <v>210000</v>
      </c>
    </row>
    <row r="43" spans="1:1849" ht="15" x14ac:dyDescent="0.2">
      <c r="A43" s="686">
        <v>42</v>
      </c>
      <c r="B43" s="580" t="s">
        <v>25</v>
      </c>
      <c r="C43" s="593" t="s">
        <v>444</v>
      </c>
      <c r="D43" s="317" t="s">
        <v>26</v>
      </c>
      <c r="E43" s="317" t="s">
        <v>27</v>
      </c>
      <c r="F43" s="317">
        <v>40</v>
      </c>
      <c r="G43" s="317">
        <v>20</v>
      </c>
      <c r="H43" s="317">
        <v>40</v>
      </c>
      <c r="I43" s="317">
        <v>20</v>
      </c>
      <c r="J43" s="580">
        <v>1</v>
      </c>
      <c r="K43" s="580">
        <f t="shared" si="1"/>
        <v>800</v>
      </c>
      <c r="L43" s="317" t="s">
        <v>41</v>
      </c>
      <c r="M43" s="581" t="s">
        <v>308</v>
      </c>
      <c r="N43" s="317">
        <v>21.150917</v>
      </c>
      <c r="O43" s="317">
        <v>79.103860999999995</v>
      </c>
      <c r="P43" s="582">
        <v>100000</v>
      </c>
      <c r="Q43" s="317">
        <v>120000</v>
      </c>
      <c r="R43" s="317">
        <v>150000</v>
      </c>
    </row>
    <row r="44" spans="1:1849" s="502" customFormat="1" ht="15" x14ac:dyDescent="0.2">
      <c r="A44" s="686">
        <v>43</v>
      </c>
      <c r="B44" s="580" t="s">
        <v>25</v>
      </c>
      <c r="C44" s="593" t="s">
        <v>431</v>
      </c>
      <c r="D44" s="317" t="s">
        <v>26</v>
      </c>
      <c r="E44" s="317" t="s">
        <v>27</v>
      </c>
      <c r="F44" s="317">
        <v>40</v>
      </c>
      <c r="G44" s="317">
        <v>20</v>
      </c>
      <c r="H44" s="317">
        <v>40</v>
      </c>
      <c r="I44" s="317">
        <v>20</v>
      </c>
      <c r="J44" s="580">
        <v>1</v>
      </c>
      <c r="K44" s="580">
        <f t="shared" si="1"/>
        <v>800</v>
      </c>
      <c r="L44" s="317" t="s">
        <v>41</v>
      </c>
      <c r="M44" s="581" t="s">
        <v>308</v>
      </c>
      <c r="N44" s="580">
        <v>21.150917</v>
      </c>
      <c r="O44" s="580">
        <v>79.103860999999995</v>
      </c>
      <c r="P44" s="582">
        <v>100000</v>
      </c>
      <c r="Q44" s="317">
        <v>120000</v>
      </c>
      <c r="R44" s="317">
        <v>150000</v>
      </c>
      <c r="S44" s="501"/>
      <c r="T44" s="501"/>
      <c r="U44" s="501"/>
      <c r="V44" s="501"/>
      <c r="W44" s="501"/>
      <c r="X44" s="501"/>
      <c r="Y44" s="501"/>
      <c r="Z44" s="501"/>
      <c r="AA44" s="501"/>
      <c r="AB44" s="501"/>
      <c r="AC44" s="501"/>
      <c r="AD44" s="501"/>
      <c r="AE44" s="501"/>
      <c r="AF44" s="501"/>
      <c r="AG44" s="501"/>
      <c r="AH44" s="501"/>
      <c r="AI44" s="501"/>
      <c r="AJ44" s="501"/>
      <c r="AK44" s="501"/>
      <c r="AL44" s="501"/>
      <c r="AM44" s="501"/>
      <c r="AN44" s="501"/>
      <c r="AO44" s="501"/>
      <c r="AP44" s="501"/>
      <c r="AQ44" s="501"/>
      <c r="AR44" s="501"/>
      <c r="AS44" s="501"/>
      <c r="AT44" s="501"/>
      <c r="AU44" s="501"/>
      <c r="AV44" s="501"/>
      <c r="AW44" s="501"/>
      <c r="AX44" s="501"/>
      <c r="AY44" s="501"/>
      <c r="AZ44" s="501"/>
      <c r="BA44" s="501"/>
      <c r="BB44" s="501"/>
      <c r="BC44" s="501"/>
      <c r="BD44" s="501"/>
      <c r="BE44" s="501"/>
      <c r="BF44" s="501"/>
      <c r="BG44" s="501"/>
      <c r="BH44" s="501"/>
      <c r="BI44" s="501"/>
      <c r="BJ44" s="501"/>
      <c r="BK44" s="501"/>
      <c r="BL44" s="501"/>
      <c r="BM44" s="501"/>
      <c r="BN44" s="501"/>
      <c r="BO44" s="501"/>
      <c r="BP44" s="501"/>
      <c r="BQ44" s="501"/>
      <c r="BR44" s="501"/>
      <c r="BS44" s="501"/>
      <c r="BT44" s="501"/>
      <c r="BU44" s="501"/>
      <c r="BV44" s="501"/>
      <c r="BW44" s="501"/>
      <c r="BX44" s="501"/>
      <c r="BY44" s="501"/>
      <c r="BZ44" s="501"/>
      <c r="CA44" s="501"/>
      <c r="CB44" s="501"/>
      <c r="CC44" s="501"/>
      <c r="CD44" s="501"/>
      <c r="CE44" s="501"/>
      <c r="CF44" s="501"/>
      <c r="CG44" s="501"/>
      <c r="CH44" s="501"/>
      <c r="CI44" s="501"/>
      <c r="CJ44" s="501"/>
      <c r="CK44" s="501"/>
      <c r="CL44" s="501"/>
      <c r="CM44" s="501"/>
      <c r="CN44" s="501"/>
      <c r="CO44" s="501"/>
      <c r="CP44" s="501"/>
      <c r="CQ44" s="501"/>
      <c r="CR44" s="501"/>
      <c r="CS44" s="501"/>
      <c r="CT44" s="501"/>
      <c r="CU44" s="501"/>
      <c r="CV44" s="501"/>
      <c r="CW44" s="501"/>
      <c r="CX44" s="501"/>
      <c r="CY44" s="501"/>
      <c r="CZ44" s="501"/>
      <c r="DA44" s="501"/>
      <c r="DB44" s="501"/>
      <c r="DC44" s="501"/>
      <c r="DD44" s="501"/>
      <c r="DE44" s="501"/>
      <c r="DF44" s="501"/>
      <c r="DG44" s="501"/>
      <c r="DH44" s="501"/>
      <c r="DI44" s="501"/>
      <c r="DJ44" s="501"/>
      <c r="DK44" s="501"/>
      <c r="DL44" s="501"/>
      <c r="DM44" s="501"/>
      <c r="DN44" s="501"/>
      <c r="DO44" s="501"/>
      <c r="DP44" s="501"/>
      <c r="DQ44" s="501"/>
      <c r="DR44" s="501"/>
      <c r="DS44" s="501"/>
      <c r="DT44" s="501"/>
      <c r="DU44" s="501"/>
      <c r="DV44" s="501"/>
      <c r="DW44" s="501"/>
      <c r="DX44" s="501"/>
      <c r="DY44" s="501"/>
      <c r="DZ44" s="501"/>
      <c r="EA44" s="501"/>
      <c r="EB44" s="501"/>
      <c r="EC44" s="501"/>
      <c r="ED44" s="501"/>
      <c r="EE44" s="501"/>
      <c r="EF44" s="501"/>
      <c r="EG44" s="501"/>
      <c r="EH44" s="501"/>
      <c r="EI44" s="501"/>
      <c r="EJ44" s="501"/>
      <c r="EK44" s="501"/>
      <c r="EL44" s="501"/>
      <c r="EM44" s="501"/>
      <c r="EN44" s="501"/>
      <c r="EO44" s="501"/>
      <c r="EP44" s="501"/>
      <c r="EQ44" s="501"/>
      <c r="ER44" s="501"/>
      <c r="ES44" s="501"/>
      <c r="ET44" s="501"/>
      <c r="EU44" s="501"/>
      <c r="EV44" s="501"/>
      <c r="EW44" s="501"/>
      <c r="EX44" s="501"/>
      <c r="EY44" s="501"/>
      <c r="EZ44" s="501"/>
      <c r="FA44" s="501"/>
      <c r="FB44" s="501"/>
      <c r="FC44" s="501"/>
      <c r="FD44" s="501"/>
      <c r="FE44" s="501"/>
      <c r="FF44" s="501"/>
      <c r="FG44" s="501"/>
      <c r="FH44" s="501"/>
      <c r="FI44" s="501"/>
      <c r="FJ44" s="501"/>
      <c r="FK44" s="501"/>
      <c r="FL44" s="501"/>
      <c r="FM44" s="501"/>
      <c r="FN44" s="501"/>
      <c r="FO44" s="501"/>
      <c r="FP44" s="501"/>
      <c r="FQ44" s="501"/>
      <c r="FR44" s="501"/>
      <c r="FS44" s="501"/>
      <c r="FT44" s="501"/>
      <c r="FU44" s="501"/>
      <c r="FV44" s="501"/>
      <c r="FW44" s="501"/>
      <c r="FX44" s="501"/>
      <c r="FY44" s="501"/>
      <c r="FZ44" s="501"/>
      <c r="GA44" s="501"/>
      <c r="GB44" s="501"/>
      <c r="GC44" s="501"/>
      <c r="GD44" s="501"/>
      <c r="GE44" s="501"/>
      <c r="GF44" s="501"/>
      <c r="GG44" s="501"/>
      <c r="GH44" s="501"/>
      <c r="GI44" s="501"/>
      <c r="GJ44" s="501"/>
      <c r="GK44" s="501"/>
      <c r="GL44" s="501"/>
      <c r="GM44" s="501"/>
      <c r="GN44" s="501"/>
      <c r="GO44" s="501"/>
      <c r="GP44" s="501"/>
      <c r="GQ44" s="501"/>
      <c r="GR44" s="501"/>
      <c r="GS44" s="501"/>
      <c r="GT44" s="501"/>
      <c r="GU44" s="501"/>
      <c r="GV44" s="501"/>
      <c r="GW44" s="501"/>
      <c r="GX44" s="501"/>
      <c r="GY44" s="501"/>
      <c r="GZ44" s="501"/>
      <c r="HA44" s="501"/>
      <c r="HB44" s="501"/>
      <c r="HC44" s="501"/>
      <c r="HD44" s="501"/>
      <c r="HE44" s="501"/>
      <c r="HF44" s="501"/>
      <c r="HG44" s="501"/>
      <c r="HH44" s="501"/>
      <c r="HI44" s="501"/>
      <c r="HJ44" s="501"/>
      <c r="HK44" s="501"/>
      <c r="HL44" s="501"/>
      <c r="HM44" s="501"/>
      <c r="HN44" s="501"/>
      <c r="HO44" s="501"/>
      <c r="HP44" s="501"/>
      <c r="HQ44" s="501"/>
      <c r="HR44" s="501"/>
      <c r="HS44" s="501"/>
      <c r="HT44" s="501"/>
      <c r="HU44" s="501"/>
      <c r="HV44" s="501"/>
      <c r="HW44" s="501"/>
      <c r="HX44" s="501"/>
      <c r="HY44" s="501"/>
      <c r="HZ44" s="501"/>
      <c r="IA44" s="501"/>
      <c r="IB44" s="501"/>
      <c r="IC44" s="501"/>
      <c r="ID44" s="501"/>
      <c r="IE44" s="501"/>
      <c r="IF44" s="501"/>
      <c r="IG44" s="501"/>
      <c r="IH44" s="501"/>
      <c r="II44" s="501"/>
      <c r="IJ44" s="501"/>
      <c r="IK44" s="501"/>
      <c r="IL44" s="501"/>
      <c r="IM44" s="501"/>
      <c r="IN44" s="501"/>
      <c r="IO44" s="501"/>
      <c r="IP44" s="501"/>
      <c r="IQ44" s="501"/>
      <c r="IR44" s="501"/>
      <c r="IS44" s="501"/>
      <c r="IT44" s="501"/>
      <c r="IU44" s="501"/>
      <c r="IV44" s="501"/>
      <c r="IW44" s="501"/>
      <c r="IX44" s="501"/>
      <c r="IY44" s="501"/>
      <c r="IZ44" s="501"/>
      <c r="JA44" s="501"/>
      <c r="JB44" s="501"/>
      <c r="JC44" s="501"/>
      <c r="JD44" s="501"/>
      <c r="JE44" s="501"/>
      <c r="JF44" s="501"/>
      <c r="JG44" s="501"/>
      <c r="JH44" s="501"/>
      <c r="JI44" s="501"/>
      <c r="JJ44" s="501"/>
      <c r="JK44" s="501"/>
      <c r="JL44" s="501"/>
      <c r="JM44" s="501"/>
      <c r="JN44" s="501"/>
      <c r="JO44" s="501"/>
      <c r="JP44" s="501"/>
      <c r="JQ44" s="501"/>
      <c r="JR44" s="501"/>
      <c r="JS44" s="501"/>
      <c r="JT44" s="501"/>
      <c r="JU44" s="501"/>
      <c r="JV44" s="501"/>
      <c r="JW44" s="501"/>
      <c r="JX44" s="501"/>
      <c r="JY44" s="501"/>
      <c r="JZ44" s="501"/>
      <c r="KA44" s="501"/>
      <c r="KB44" s="501"/>
      <c r="KC44" s="501"/>
      <c r="KD44" s="501"/>
      <c r="KE44" s="501"/>
      <c r="KF44" s="501"/>
      <c r="KG44" s="501"/>
      <c r="KH44" s="501"/>
      <c r="KI44" s="501"/>
      <c r="KJ44" s="501"/>
      <c r="KK44" s="501"/>
      <c r="KL44" s="501"/>
      <c r="KM44" s="501"/>
      <c r="KN44" s="501"/>
      <c r="KO44" s="501"/>
      <c r="KP44" s="501"/>
      <c r="KQ44" s="501"/>
      <c r="KR44" s="501"/>
      <c r="KS44" s="501"/>
      <c r="KT44" s="501"/>
      <c r="KU44" s="501"/>
      <c r="KV44" s="501"/>
      <c r="KW44" s="501"/>
      <c r="KX44" s="501"/>
      <c r="KY44" s="501"/>
      <c r="KZ44" s="501"/>
      <c r="LA44" s="501"/>
      <c r="LB44" s="501"/>
      <c r="LC44" s="501"/>
      <c r="LD44" s="501"/>
      <c r="LE44" s="501"/>
      <c r="LF44" s="501"/>
      <c r="LG44" s="501"/>
      <c r="LH44" s="501"/>
      <c r="LI44" s="501"/>
      <c r="LJ44" s="501"/>
      <c r="LK44" s="501"/>
      <c r="LL44" s="501"/>
      <c r="LM44" s="501"/>
      <c r="LN44" s="501"/>
      <c r="LO44" s="501"/>
      <c r="LP44" s="501"/>
      <c r="LQ44" s="501"/>
      <c r="LR44" s="501"/>
      <c r="LS44" s="501"/>
      <c r="LT44" s="501"/>
      <c r="LU44" s="501"/>
      <c r="LV44" s="501"/>
      <c r="LW44" s="501"/>
      <c r="LX44" s="501"/>
      <c r="LY44" s="501"/>
      <c r="LZ44" s="501"/>
      <c r="MA44" s="501"/>
      <c r="MB44" s="501"/>
      <c r="MC44" s="501"/>
      <c r="MD44" s="501"/>
      <c r="ME44" s="501"/>
      <c r="MF44" s="501"/>
      <c r="MG44" s="501"/>
      <c r="MH44" s="501"/>
      <c r="MI44" s="501"/>
      <c r="MJ44" s="501"/>
      <c r="MK44" s="501"/>
      <c r="ML44" s="501"/>
      <c r="MM44" s="501"/>
      <c r="MN44" s="501"/>
      <c r="MO44" s="501"/>
      <c r="MP44" s="501"/>
      <c r="MQ44" s="501"/>
      <c r="MR44" s="501"/>
      <c r="MS44" s="501"/>
      <c r="MT44" s="501"/>
      <c r="MU44" s="501"/>
      <c r="MV44" s="501"/>
      <c r="MW44" s="501"/>
      <c r="MX44" s="501"/>
      <c r="MY44" s="501"/>
      <c r="MZ44" s="501"/>
      <c r="NA44" s="501"/>
      <c r="NB44" s="501"/>
      <c r="NC44" s="501"/>
      <c r="ND44" s="501"/>
      <c r="NE44" s="501"/>
      <c r="NF44" s="501"/>
      <c r="NG44" s="501"/>
      <c r="NH44" s="501"/>
      <c r="NI44" s="501"/>
      <c r="NJ44" s="501"/>
      <c r="NK44" s="501"/>
      <c r="NL44" s="501"/>
      <c r="NM44" s="501"/>
      <c r="NN44" s="501"/>
      <c r="NO44" s="501"/>
      <c r="NP44" s="501"/>
      <c r="NQ44" s="501"/>
      <c r="NR44" s="501"/>
      <c r="NS44" s="501"/>
      <c r="NT44" s="501"/>
      <c r="NU44" s="501"/>
      <c r="NV44" s="501"/>
      <c r="NW44" s="501"/>
      <c r="NX44" s="501"/>
      <c r="NY44" s="501"/>
      <c r="NZ44" s="501"/>
      <c r="OA44" s="501"/>
      <c r="OB44" s="501"/>
      <c r="OC44" s="501"/>
      <c r="OD44" s="501"/>
      <c r="OE44" s="501"/>
      <c r="OF44" s="501"/>
      <c r="OG44" s="501"/>
      <c r="OH44" s="501"/>
      <c r="OI44" s="501"/>
      <c r="OJ44" s="501"/>
      <c r="OK44" s="501"/>
      <c r="OL44" s="501"/>
      <c r="OM44" s="501"/>
      <c r="ON44" s="501"/>
      <c r="OO44" s="501"/>
      <c r="OP44" s="501"/>
      <c r="OQ44" s="501"/>
      <c r="OR44" s="501"/>
      <c r="OS44" s="501"/>
      <c r="OT44" s="501"/>
      <c r="OU44" s="501"/>
      <c r="OV44" s="501"/>
      <c r="OW44" s="501"/>
      <c r="OX44" s="501"/>
      <c r="OY44" s="501"/>
      <c r="OZ44" s="501"/>
      <c r="PA44" s="501"/>
      <c r="PB44" s="501"/>
      <c r="PC44" s="501"/>
      <c r="PD44" s="501"/>
      <c r="PE44" s="501"/>
      <c r="PF44" s="501"/>
      <c r="PG44" s="501"/>
      <c r="PH44" s="501"/>
      <c r="PI44" s="501"/>
      <c r="PJ44" s="501"/>
      <c r="PK44" s="501"/>
      <c r="PL44" s="501"/>
      <c r="PM44" s="501"/>
      <c r="PN44" s="501"/>
      <c r="PO44" s="501"/>
      <c r="PP44" s="501"/>
      <c r="PQ44" s="501"/>
      <c r="PR44" s="501"/>
      <c r="PS44" s="501"/>
      <c r="PT44" s="501"/>
      <c r="PU44" s="501"/>
      <c r="PV44" s="501"/>
      <c r="PW44" s="501"/>
      <c r="PX44" s="501"/>
      <c r="PY44" s="501"/>
      <c r="PZ44" s="501"/>
      <c r="QA44" s="501"/>
      <c r="QB44" s="501"/>
      <c r="QC44" s="501"/>
      <c r="QD44" s="501"/>
      <c r="QE44" s="501"/>
      <c r="QF44" s="501"/>
      <c r="QG44" s="501"/>
      <c r="QH44" s="501"/>
      <c r="QI44" s="501"/>
      <c r="QJ44" s="501"/>
      <c r="QK44" s="501"/>
      <c r="QL44" s="501"/>
      <c r="QM44" s="501"/>
      <c r="QN44" s="501"/>
      <c r="QO44" s="501"/>
      <c r="QP44" s="501"/>
      <c r="QQ44" s="501"/>
      <c r="QR44" s="501"/>
      <c r="QS44" s="501"/>
      <c r="QT44" s="501"/>
      <c r="QU44" s="501"/>
      <c r="QV44" s="501"/>
      <c r="QW44" s="501"/>
      <c r="QX44" s="501"/>
      <c r="QY44" s="501"/>
      <c r="QZ44" s="501"/>
      <c r="RA44" s="501"/>
      <c r="RB44" s="501"/>
      <c r="RC44" s="501"/>
      <c r="RD44" s="501"/>
      <c r="RE44" s="501"/>
      <c r="RF44" s="501"/>
      <c r="RG44" s="501"/>
      <c r="RH44" s="501"/>
      <c r="RI44" s="501"/>
      <c r="RJ44" s="501"/>
      <c r="RK44" s="501"/>
      <c r="RL44" s="501"/>
      <c r="RM44" s="501"/>
      <c r="RN44" s="501"/>
      <c r="RO44" s="501"/>
      <c r="RP44" s="501"/>
      <c r="RQ44" s="501"/>
      <c r="RR44" s="501"/>
      <c r="RS44" s="501"/>
      <c r="RT44" s="501"/>
      <c r="RU44" s="501"/>
      <c r="RV44" s="501"/>
      <c r="RW44" s="501"/>
      <c r="RX44" s="501"/>
      <c r="RY44" s="501"/>
      <c r="RZ44" s="501"/>
      <c r="SA44" s="501"/>
      <c r="SB44" s="501"/>
      <c r="SC44" s="501"/>
      <c r="SD44" s="501"/>
      <c r="SE44" s="501"/>
      <c r="SF44" s="501"/>
      <c r="SG44" s="501"/>
      <c r="SH44" s="501"/>
      <c r="SI44" s="501"/>
      <c r="SJ44" s="501"/>
      <c r="SK44" s="501"/>
      <c r="SL44" s="501"/>
      <c r="SM44" s="501"/>
      <c r="SN44" s="501"/>
      <c r="SO44" s="501"/>
      <c r="SP44" s="501"/>
      <c r="SQ44" s="501"/>
      <c r="SR44" s="501"/>
      <c r="SS44" s="501"/>
      <c r="ST44" s="501"/>
      <c r="SU44" s="501"/>
      <c r="SV44" s="501"/>
      <c r="SW44" s="501"/>
      <c r="SX44" s="501"/>
      <c r="SY44" s="501"/>
      <c r="SZ44" s="501"/>
      <c r="TA44" s="501"/>
      <c r="TB44" s="501"/>
      <c r="TC44" s="501"/>
      <c r="TD44" s="501"/>
      <c r="TE44" s="501"/>
      <c r="TF44" s="501"/>
      <c r="TG44" s="501"/>
      <c r="TH44" s="501"/>
      <c r="TI44" s="501"/>
      <c r="TJ44" s="501"/>
      <c r="TK44" s="501"/>
      <c r="TL44" s="501"/>
      <c r="TM44" s="501"/>
      <c r="TN44" s="501"/>
      <c r="TO44" s="501"/>
      <c r="TP44" s="501"/>
      <c r="TQ44" s="501"/>
      <c r="TR44" s="501"/>
      <c r="TS44" s="501"/>
      <c r="TT44" s="501"/>
      <c r="TU44" s="501"/>
      <c r="TV44" s="501"/>
      <c r="TW44" s="501"/>
      <c r="TX44" s="501"/>
      <c r="TY44" s="501"/>
      <c r="TZ44" s="501"/>
      <c r="UA44" s="501"/>
      <c r="UB44" s="501"/>
      <c r="UC44" s="501"/>
      <c r="UD44" s="501"/>
      <c r="UE44" s="501"/>
      <c r="UF44" s="501"/>
      <c r="UG44" s="501"/>
      <c r="UH44" s="501"/>
      <c r="UI44" s="501"/>
      <c r="UJ44" s="501"/>
      <c r="UK44" s="501"/>
      <c r="UL44" s="501"/>
      <c r="UM44" s="501"/>
      <c r="UN44" s="501"/>
      <c r="UO44" s="501"/>
      <c r="UP44" s="501"/>
      <c r="UQ44" s="501"/>
      <c r="UR44" s="501"/>
      <c r="US44" s="501"/>
      <c r="UT44" s="501"/>
      <c r="UU44" s="501"/>
      <c r="UV44" s="501"/>
      <c r="UW44" s="501"/>
      <c r="UX44" s="501"/>
      <c r="UY44" s="501"/>
      <c r="UZ44" s="501"/>
      <c r="VA44" s="501"/>
      <c r="VB44" s="501"/>
      <c r="VC44" s="501"/>
      <c r="VD44" s="501"/>
      <c r="VE44" s="501"/>
      <c r="VF44" s="501"/>
      <c r="VG44" s="501"/>
      <c r="VH44" s="501"/>
      <c r="VI44" s="501"/>
      <c r="VJ44" s="501"/>
      <c r="VK44" s="501"/>
      <c r="VL44" s="501"/>
      <c r="VM44" s="501"/>
      <c r="VN44" s="501"/>
      <c r="VO44" s="501"/>
      <c r="VP44" s="501"/>
      <c r="VQ44" s="501"/>
      <c r="VR44" s="501"/>
      <c r="VS44" s="501"/>
      <c r="VT44" s="501"/>
      <c r="VU44" s="501"/>
      <c r="VV44" s="501"/>
      <c r="VW44" s="501"/>
      <c r="VX44" s="501"/>
      <c r="VY44" s="501"/>
      <c r="VZ44" s="501"/>
      <c r="WA44" s="501"/>
      <c r="WB44" s="501"/>
      <c r="WC44" s="501"/>
      <c r="WD44" s="501"/>
      <c r="WE44" s="501"/>
      <c r="WF44" s="501"/>
      <c r="WG44" s="501"/>
      <c r="WH44" s="501"/>
      <c r="WI44" s="501"/>
      <c r="WJ44" s="501"/>
      <c r="WK44" s="501"/>
      <c r="WL44" s="501"/>
      <c r="WM44" s="501"/>
      <c r="WN44" s="501"/>
      <c r="WO44" s="501"/>
      <c r="WP44" s="501"/>
      <c r="WQ44" s="501"/>
      <c r="WR44" s="501"/>
      <c r="WS44" s="501"/>
      <c r="WT44" s="501"/>
      <c r="WU44" s="501"/>
      <c r="WV44" s="501"/>
      <c r="WW44" s="501"/>
      <c r="WX44" s="501"/>
      <c r="WY44" s="501"/>
      <c r="WZ44" s="501"/>
      <c r="XA44" s="501"/>
      <c r="XB44" s="501"/>
      <c r="XC44" s="501"/>
      <c r="XD44" s="501"/>
      <c r="XE44" s="501"/>
      <c r="XF44" s="501"/>
      <c r="XG44" s="501"/>
      <c r="XH44" s="501"/>
      <c r="XI44" s="501"/>
      <c r="XJ44" s="501"/>
      <c r="XK44" s="501"/>
      <c r="XL44" s="501"/>
      <c r="XM44" s="501"/>
      <c r="XN44" s="501"/>
      <c r="XO44" s="501"/>
      <c r="XP44" s="501"/>
      <c r="XQ44" s="501"/>
      <c r="XR44" s="501"/>
      <c r="XS44" s="501"/>
      <c r="XT44" s="501"/>
      <c r="XU44" s="501"/>
      <c r="XV44" s="501"/>
      <c r="XW44" s="501"/>
      <c r="XX44" s="501"/>
      <c r="XY44" s="501"/>
      <c r="XZ44" s="501"/>
      <c r="YA44" s="501"/>
      <c r="YB44" s="501"/>
      <c r="YC44" s="501"/>
      <c r="YD44" s="501"/>
      <c r="YE44" s="501"/>
      <c r="YF44" s="501"/>
      <c r="YG44" s="501"/>
      <c r="YH44" s="501"/>
      <c r="YI44" s="501"/>
      <c r="YJ44" s="501"/>
      <c r="YK44" s="501"/>
      <c r="YL44" s="501"/>
      <c r="YM44" s="501"/>
      <c r="YN44" s="501"/>
      <c r="YO44" s="501"/>
      <c r="YP44" s="501"/>
      <c r="YQ44" s="501"/>
      <c r="YR44" s="501"/>
      <c r="YS44" s="501"/>
      <c r="YT44" s="501"/>
      <c r="YU44" s="501"/>
      <c r="YV44" s="501"/>
      <c r="YW44" s="501"/>
      <c r="YX44" s="501"/>
      <c r="YY44" s="501"/>
      <c r="YZ44" s="501"/>
      <c r="ZA44" s="501"/>
      <c r="ZB44" s="501"/>
      <c r="ZC44" s="501"/>
      <c r="ZD44" s="501"/>
      <c r="ZE44" s="501"/>
      <c r="ZF44" s="501"/>
      <c r="ZG44" s="501"/>
      <c r="ZH44" s="501"/>
      <c r="ZI44" s="501"/>
      <c r="ZJ44" s="501"/>
      <c r="ZK44" s="501"/>
      <c r="ZL44" s="501"/>
      <c r="ZM44" s="501"/>
      <c r="ZN44" s="501"/>
      <c r="ZO44" s="501"/>
      <c r="ZP44" s="501"/>
      <c r="ZQ44" s="501"/>
      <c r="ZR44" s="501"/>
      <c r="ZS44" s="501"/>
      <c r="ZT44" s="501"/>
      <c r="ZU44" s="501"/>
      <c r="ZV44" s="501"/>
      <c r="ZW44" s="501"/>
      <c r="ZX44" s="501"/>
      <c r="ZY44" s="501"/>
      <c r="ZZ44" s="501"/>
      <c r="AAA44" s="501"/>
      <c r="AAB44" s="501"/>
      <c r="AAC44" s="501"/>
      <c r="AAD44" s="501"/>
      <c r="AAE44" s="501"/>
      <c r="AAF44" s="501"/>
      <c r="AAG44" s="501"/>
      <c r="AAH44" s="501"/>
      <c r="AAI44" s="501"/>
      <c r="AAJ44" s="501"/>
      <c r="AAK44" s="501"/>
      <c r="AAL44" s="501"/>
      <c r="AAM44" s="501"/>
      <c r="AAN44" s="501"/>
      <c r="AAO44" s="501"/>
      <c r="AAP44" s="501"/>
      <c r="AAQ44" s="501"/>
      <c r="AAR44" s="501"/>
      <c r="AAS44" s="501"/>
      <c r="AAT44" s="501"/>
      <c r="AAU44" s="501"/>
      <c r="AAV44" s="501"/>
      <c r="AAW44" s="501"/>
      <c r="AAX44" s="501"/>
      <c r="AAY44" s="501"/>
      <c r="AAZ44" s="501"/>
      <c r="ABA44" s="501"/>
      <c r="ABB44" s="501"/>
      <c r="ABC44" s="501"/>
      <c r="ABD44" s="501"/>
      <c r="ABE44" s="501"/>
      <c r="ABF44" s="501"/>
      <c r="ABG44" s="501"/>
      <c r="ABH44" s="501"/>
      <c r="ABI44" s="501"/>
      <c r="ABJ44" s="501"/>
      <c r="ABK44" s="501"/>
      <c r="ABL44" s="501"/>
      <c r="ABM44" s="501"/>
      <c r="ABN44" s="501"/>
      <c r="ABO44" s="501"/>
      <c r="ABP44" s="501"/>
      <c r="ABQ44" s="501"/>
      <c r="ABR44" s="501"/>
      <c r="ABS44" s="501"/>
      <c r="ABT44" s="501"/>
      <c r="ABU44" s="501"/>
      <c r="ABV44" s="501"/>
      <c r="ABW44" s="501"/>
      <c r="ABX44" s="501"/>
      <c r="ABY44" s="501"/>
      <c r="ABZ44" s="501"/>
      <c r="ACA44" s="501"/>
      <c r="ACB44" s="501"/>
      <c r="ACC44" s="501"/>
      <c r="ACD44" s="501"/>
      <c r="ACE44" s="501"/>
      <c r="ACF44" s="501"/>
      <c r="ACG44" s="501"/>
      <c r="ACH44" s="501"/>
      <c r="ACI44" s="501"/>
      <c r="ACJ44" s="501"/>
      <c r="ACK44" s="501"/>
      <c r="ACL44" s="501"/>
      <c r="ACM44" s="501"/>
      <c r="ACN44" s="501"/>
      <c r="ACO44" s="501"/>
      <c r="ACP44" s="501"/>
      <c r="ACQ44" s="501"/>
      <c r="ACR44" s="501"/>
      <c r="ACS44" s="501"/>
      <c r="ACT44" s="501"/>
      <c r="ACU44" s="501"/>
      <c r="ACV44" s="501"/>
      <c r="ACW44" s="501"/>
      <c r="ACX44" s="501"/>
      <c r="ACY44" s="501"/>
      <c r="ACZ44" s="501"/>
      <c r="ADA44" s="501"/>
      <c r="ADB44" s="501"/>
      <c r="ADC44" s="501"/>
      <c r="ADD44" s="501"/>
      <c r="ADE44" s="501"/>
      <c r="ADF44" s="501"/>
      <c r="ADG44" s="501"/>
      <c r="ADH44" s="501"/>
      <c r="ADI44" s="501"/>
      <c r="ADJ44" s="501"/>
      <c r="ADK44" s="501"/>
      <c r="ADL44" s="501"/>
      <c r="ADM44" s="501"/>
      <c r="ADN44" s="501"/>
      <c r="ADO44" s="501"/>
      <c r="ADP44" s="501"/>
      <c r="ADQ44" s="501"/>
      <c r="ADR44" s="501"/>
      <c r="ADS44" s="501"/>
      <c r="ADT44" s="501"/>
      <c r="ADU44" s="501"/>
      <c r="ADV44" s="501"/>
      <c r="ADW44" s="501"/>
      <c r="ADX44" s="501"/>
      <c r="ADY44" s="501"/>
      <c r="ADZ44" s="501"/>
      <c r="AEA44" s="501"/>
      <c r="AEB44" s="501"/>
      <c r="AEC44" s="501"/>
      <c r="AED44" s="501"/>
      <c r="AEE44" s="501"/>
      <c r="AEF44" s="501"/>
      <c r="AEG44" s="501"/>
      <c r="AEH44" s="501"/>
      <c r="AEI44" s="501"/>
      <c r="AEJ44" s="501"/>
      <c r="AEK44" s="501"/>
      <c r="AEL44" s="501"/>
      <c r="AEM44" s="501"/>
      <c r="AEN44" s="501"/>
      <c r="AEO44" s="501"/>
      <c r="AEP44" s="501"/>
      <c r="AEQ44" s="501"/>
      <c r="AER44" s="501"/>
      <c r="AES44" s="501"/>
      <c r="AET44" s="501"/>
      <c r="AEU44" s="501"/>
      <c r="AEV44" s="501"/>
      <c r="AEW44" s="501"/>
      <c r="AEX44" s="501"/>
      <c r="AEY44" s="501"/>
      <c r="AEZ44" s="501"/>
      <c r="AFA44" s="501"/>
      <c r="AFB44" s="501"/>
      <c r="AFC44" s="501"/>
      <c r="AFD44" s="501"/>
      <c r="AFE44" s="501"/>
      <c r="AFF44" s="501"/>
      <c r="AFG44" s="501"/>
      <c r="AFH44" s="501"/>
      <c r="AFI44" s="501"/>
      <c r="AFJ44" s="501"/>
      <c r="AFK44" s="501"/>
      <c r="AFL44" s="501"/>
      <c r="AFM44" s="501"/>
      <c r="AFN44" s="501"/>
      <c r="AFO44" s="501"/>
      <c r="AFP44" s="501"/>
      <c r="AFQ44" s="501"/>
      <c r="AFR44" s="501"/>
      <c r="AFS44" s="501"/>
      <c r="AFT44" s="501"/>
      <c r="AFU44" s="501"/>
      <c r="AFV44" s="501"/>
      <c r="AFW44" s="501"/>
      <c r="AFX44" s="501"/>
      <c r="AFY44" s="501"/>
      <c r="AFZ44" s="501"/>
      <c r="AGA44" s="501"/>
      <c r="AGB44" s="501"/>
      <c r="AGC44" s="501"/>
      <c r="AGD44" s="501"/>
      <c r="AGE44" s="501"/>
      <c r="AGF44" s="501"/>
      <c r="AGG44" s="501"/>
      <c r="AGH44" s="501"/>
      <c r="AGI44" s="501"/>
      <c r="AGJ44" s="501"/>
      <c r="AGK44" s="501"/>
      <c r="AGL44" s="501"/>
      <c r="AGM44" s="501"/>
      <c r="AGN44" s="501"/>
      <c r="AGO44" s="501"/>
      <c r="AGP44" s="501"/>
      <c r="AGQ44" s="501"/>
      <c r="AGR44" s="501"/>
      <c r="AGS44" s="501"/>
      <c r="AGT44" s="501"/>
      <c r="AGU44" s="501"/>
      <c r="AGV44" s="501"/>
      <c r="AGW44" s="501"/>
      <c r="AGX44" s="501"/>
      <c r="AGY44" s="501"/>
      <c r="AGZ44" s="501"/>
      <c r="AHA44" s="501"/>
      <c r="AHB44" s="501"/>
      <c r="AHC44" s="501"/>
      <c r="AHD44" s="501"/>
      <c r="AHE44" s="501"/>
      <c r="AHF44" s="501"/>
      <c r="AHG44" s="501"/>
      <c r="AHH44" s="501"/>
      <c r="AHI44" s="501"/>
      <c r="AHJ44" s="501"/>
      <c r="AHK44" s="501"/>
      <c r="AHL44" s="501"/>
      <c r="AHM44" s="501"/>
      <c r="AHN44" s="501"/>
      <c r="AHO44" s="501"/>
      <c r="AHP44" s="501"/>
      <c r="AHQ44" s="501"/>
      <c r="AHR44" s="501"/>
      <c r="AHS44" s="501"/>
      <c r="AHT44" s="501"/>
      <c r="AHU44" s="501"/>
      <c r="AHV44" s="501"/>
      <c r="AHW44" s="501"/>
      <c r="AHX44" s="501"/>
      <c r="AHY44" s="501"/>
      <c r="AHZ44" s="501"/>
      <c r="AIA44" s="501"/>
      <c r="AIB44" s="501"/>
      <c r="AIC44" s="501"/>
      <c r="AID44" s="501"/>
      <c r="AIE44" s="501"/>
      <c r="AIF44" s="501"/>
      <c r="AIG44" s="501"/>
      <c r="AIH44" s="501"/>
      <c r="AII44" s="501"/>
      <c r="AIJ44" s="501"/>
      <c r="AIK44" s="501"/>
      <c r="AIL44" s="501"/>
      <c r="AIM44" s="501"/>
      <c r="AIN44" s="501"/>
      <c r="AIO44" s="501"/>
      <c r="AIP44" s="501"/>
      <c r="AIQ44" s="501"/>
      <c r="AIR44" s="501"/>
      <c r="AIS44" s="501"/>
      <c r="AIT44" s="501"/>
      <c r="AIU44" s="501"/>
      <c r="AIV44" s="501"/>
      <c r="AIW44" s="501"/>
      <c r="AIX44" s="501"/>
      <c r="AIY44" s="501"/>
      <c r="AIZ44" s="501"/>
      <c r="AJA44" s="501"/>
      <c r="AJB44" s="501"/>
      <c r="AJC44" s="501"/>
      <c r="AJD44" s="501"/>
      <c r="AJE44" s="501"/>
      <c r="AJF44" s="501"/>
      <c r="AJG44" s="501"/>
      <c r="AJH44" s="501"/>
      <c r="AJI44" s="501"/>
      <c r="AJJ44" s="501"/>
      <c r="AJK44" s="501"/>
      <c r="AJL44" s="501"/>
      <c r="AJM44" s="501"/>
      <c r="AJN44" s="501"/>
      <c r="AJO44" s="501"/>
      <c r="AJP44" s="501"/>
      <c r="AJQ44" s="501"/>
      <c r="AJR44" s="501"/>
      <c r="AJS44" s="501"/>
      <c r="AJT44" s="501"/>
      <c r="AJU44" s="501"/>
      <c r="AJV44" s="501"/>
      <c r="AJW44" s="501"/>
      <c r="AJX44" s="501"/>
      <c r="AJY44" s="501"/>
      <c r="AJZ44" s="501"/>
      <c r="AKA44" s="501"/>
      <c r="AKB44" s="501"/>
      <c r="AKC44" s="501"/>
      <c r="AKD44" s="501"/>
      <c r="AKE44" s="501"/>
      <c r="AKF44" s="501"/>
      <c r="AKG44" s="501"/>
      <c r="AKH44" s="501"/>
      <c r="AKI44" s="501"/>
      <c r="AKJ44" s="501"/>
      <c r="AKK44" s="501"/>
      <c r="AKL44" s="501"/>
      <c r="AKM44" s="501"/>
      <c r="AKN44" s="501"/>
      <c r="AKO44" s="501"/>
      <c r="AKP44" s="501"/>
      <c r="AKQ44" s="501"/>
      <c r="AKR44" s="501"/>
      <c r="AKS44" s="501"/>
      <c r="AKT44" s="501"/>
      <c r="AKU44" s="501"/>
      <c r="AKV44" s="501"/>
      <c r="AKW44" s="501"/>
      <c r="AKX44" s="501"/>
      <c r="AKY44" s="501"/>
      <c r="AKZ44" s="501"/>
      <c r="ALA44" s="501"/>
      <c r="ALB44" s="501"/>
      <c r="ALC44" s="501"/>
      <c r="ALD44" s="501"/>
      <c r="ALE44" s="501"/>
      <c r="ALF44" s="501"/>
      <c r="ALG44" s="501"/>
      <c r="ALH44" s="501"/>
      <c r="ALI44" s="501"/>
      <c r="ALJ44" s="501"/>
      <c r="ALK44" s="501"/>
      <c r="ALL44" s="501"/>
      <c r="ALM44" s="501"/>
      <c r="ALN44" s="501"/>
      <c r="ALO44" s="501"/>
      <c r="ALP44" s="501"/>
      <c r="ALQ44" s="501"/>
      <c r="ALR44" s="501"/>
      <c r="ALS44" s="501"/>
      <c r="ALT44" s="501"/>
      <c r="ALU44" s="501"/>
      <c r="ALV44" s="501"/>
      <c r="ALW44" s="501"/>
      <c r="ALX44" s="501"/>
      <c r="ALY44" s="501"/>
      <c r="ALZ44" s="501"/>
      <c r="AMA44" s="501"/>
      <c r="AMB44" s="501"/>
      <c r="AMC44" s="501"/>
      <c r="AMD44" s="501"/>
      <c r="AME44" s="501"/>
      <c r="AMF44" s="501"/>
      <c r="AMG44" s="501"/>
      <c r="AMH44" s="501"/>
      <c r="AMI44" s="501"/>
      <c r="AMJ44" s="501"/>
      <c r="AMK44" s="501"/>
      <c r="AML44" s="501"/>
      <c r="AMM44" s="501"/>
      <c r="AMN44" s="501"/>
      <c r="AMO44" s="501"/>
      <c r="AMP44" s="501"/>
      <c r="AMQ44" s="501"/>
      <c r="AMR44" s="501"/>
      <c r="AMS44" s="501"/>
      <c r="AMT44" s="501"/>
      <c r="AMU44" s="501"/>
      <c r="AMV44" s="501"/>
      <c r="AMW44" s="501"/>
      <c r="AMX44" s="501"/>
      <c r="AMY44" s="501"/>
      <c r="AMZ44" s="501"/>
      <c r="ANA44" s="501"/>
      <c r="ANB44" s="501"/>
      <c r="ANC44" s="501"/>
      <c r="AND44" s="501"/>
      <c r="ANE44" s="501"/>
      <c r="ANF44" s="501"/>
      <c r="ANG44" s="501"/>
      <c r="ANH44" s="501"/>
      <c r="ANI44" s="501"/>
      <c r="ANJ44" s="501"/>
      <c r="ANK44" s="501"/>
      <c r="ANL44" s="501"/>
      <c r="ANM44" s="501"/>
      <c r="ANN44" s="501"/>
      <c r="ANO44" s="501"/>
      <c r="ANP44" s="501"/>
      <c r="ANQ44" s="501"/>
      <c r="ANR44" s="501"/>
      <c r="ANS44" s="501"/>
      <c r="ANT44" s="501"/>
      <c r="ANU44" s="501"/>
      <c r="ANV44" s="501"/>
      <c r="ANW44" s="501"/>
      <c r="ANX44" s="501"/>
      <c r="ANY44" s="501"/>
      <c r="ANZ44" s="501"/>
      <c r="AOA44" s="501"/>
      <c r="AOB44" s="501"/>
      <c r="AOC44" s="501"/>
      <c r="AOD44" s="501"/>
      <c r="AOE44" s="501"/>
      <c r="AOF44" s="501"/>
      <c r="AOG44" s="501"/>
      <c r="AOH44" s="501"/>
      <c r="AOI44" s="501"/>
      <c r="AOJ44" s="501"/>
      <c r="AOK44" s="501"/>
      <c r="AOL44" s="501"/>
      <c r="AOM44" s="501"/>
      <c r="AON44" s="501"/>
      <c r="AOO44" s="501"/>
      <c r="AOP44" s="501"/>
      <c r="AOQ44" s="501"/>
      <c r="AOR44" s="501"/>
      <c r="AOS44" s="501"/>
      <c r="AOT44" s="501"/>
      <c r="AOU44" s="501"/>
      <c r="AOV44" s="501"/>
      <c r="AOW44" s="501"/>
      <c r="AOX44" s="501"/>
      <c r="AOY44" s="501"/>
      <c r="AOZ44" s="501"/>
      <c r="APA44" s="501"/>
      <c r="APB44" s="501"/>
      <c r="APC44" s="501"/>
      <c r="APD44" s="501"/>
      <c r="APE44" s="501"/>
      <c r="APF44" s="501"/>
      <c r="APG44" s="501"/>
      <c r="APH44" s="501"/>
      <c r="API44" s="501"/>
      <c r="APJ44" s="501"/>
      <c r="APK44" s="501"/>
      <c r="APL44" s="501"/>
      <c r="APM44" s="501"/>
      <c r="APN44" s="501"/>
      <c r="APO44" s="501"/>
      <c r="APP44" s="501"/>
      <c r="APQ44" s="501"/>
      <c r="APR44" s="501"/>
      <c r="APS44" s="501"/>
      <c r="APT44" s="501"/>
      <c r="APU44" s="501"/>
      <c r="APV44" s="501"/>
      <c r="APW44" s="501"/>
      <c r="APX44" s="501"/>
      <c r="APY44" s="501"/>
      <c r="APZ44" s="501"/>
      <c r="AQA44" s="501"/>
      <c r="AQB44" s="501"/>
      <c r="AQC44" s="501"/>
      <c r="AQD44" s="501"/>
      <c r="AQE44" s="501"/>
      <c r="AQF44" s="501"/>
      <c r="AQG44" s="501"/>
      <c r="AQH44" s="501"/>
      <c r="AQI44" s="501"/>
      <c r="AQJ44" s="501"/>
      <c r="AQK44" s="501"/>
      <c r="AQL44" s="501"/>
      <c r="AQM44" s="501"/>
      <c r="AQN44" s="501"/>
      <c r="AQO44" s="501"/>
      <c r="AQP44" s="501"/>
      <c r="AQQ44" s="501"/>
      <c r="AQR44" s="501"/>
      <c r="AQS44" s="501"/>
      <c r="AQT44" s="501"/>
      <c r="AQU44" s="501"/>
      <c r="AQV44" s="501"/>
      <c r="AQW44" s="501"/>
      <c r="AQX44" s="501"/>
      <c r="AQY44" s="501"/>
      <c r="AQZ44" s="501"/>
      <c r="ARA44" s="501"/>
      <c r="ARB44" s="501"/>
      <c r="ARC44" s="501"/>
      <c r="ARD44" s="501"/>
      <c r="ARE44" s="501"/>
      <c r="ARF44" s="501"/>
      <c r="ARG44" s="501"/>
      <c r="ARH44" s="501"/>
      <c r="ARI44" s="501"/>
      <c r="ARJ44" s="501"/>
      <c r="ARK44" s="501"/>
      <c r="ARL44" s="501"/>
      <c r="ARM44" s="501"/>
      <c r="ARN44" s="501"/>
      <c r="ARO44" s="501"/>
      <c r="ARP44" s="501"/>
      <c r="ARQ44" s="501"/>
      <c r="ARR44" s="501"/>
      <c r="ARS44" s="501"/>
      <c r="ART44" s="501"/>
      <c r="ARU44" s="501"/>
      <c r="ARV44" s="501"/>
      <c r="ARW44" s="501"/>
      <c r="ARX44" s="501"/>
      <c r="ARY44" s="501"/>
      <c r="ARZ44" s="501"/>
      <c r="ASA44" s="501"/>
      <c r="ASB44" s="501"/>
      <c r="ASC44" s="501"/>
      <c r="ASD44" s="501"/>
      <c r="ASE44" s="501"/>
      <c r="ASF44" s="501"/>
      <c r="ASG44" s="501"/>
      <c r="ASH44" s="501"/>
      <c r="ASI44" s="501"/>
      <c r="ASJ44" s="501"/>
      <c r="ASK44" s="501"/>
      <c r="ASL44" s="501"/>
      <c r="ASM44" s="501"/>
      <c r="ASN44" s="501"/>
      <c r="ASO44" s="501"/>
      <c r="ASP44" s="501"/>
      <c r="ASQ44" s="501"/>
      <c r="ASR44" s="501"/>
      <c r="ASS44" s="501"/>
      <c r="AST44" s="501"/>
      <c r="ASU44" s="501"/>
      <c r="ASV44" s="501"/>
      <c r="ASW44" s="501"/>
      <c r="ASX44" s="501"/>
      <c r="ASY44" s="501"/>
      <c r="ASZ44" s="501"/>
      <c r="ATA44" s="501"/>
      <c r="ATB44" s="501"/>
      <c r="ATC44" s="501"/>
      <c r="ATD44" s="501"/>
      <c r="ATE44" s="501"/>
      <c r="ATF44" s="501"/>
      <c r="ATG44" s="501"/>
      <c r="ATH44" s="501"/>
      <c r="ATI44" s="501"/>
      <c r="ATJ44" s="501"/>
      <c r="ATK44" s="501"/>
      <c r="ATL44" s="501"/>
      <c r="ATM44" s="501"/>
      <c r="ATN44" s="501"/>
      <c r="ATO44" s="501"/>
      <c r="ATP44" s="501"/>
      <c r="ATQ44" s="501"/>
      <c r="ATR44" s="501"/>
      <c r="ATS44" s="501"/>
      <c r="ATT44" s="501"/>
      <c r="ATU44" s="501"/>
      <c r="ATV44" s="501"/>
      <c r="ATW44" s="501"/>
      <c r="ATX44" s="501"/>
      <c r="ATY44" s="501"/>
      <c r="ATZ44" s="501"/>
      <c r="AUA44" s="501"/>
      <c r="AUB44" s="501"/>
      <c r="AUC44" s="501"/>
      <c r="AUD44" s="501"/>
      <c r="AUE44" s="501"/>
      <c r="AUF44" s="501"/>
      <c r="AUG44" s="501"/>
      <c r="AUH44" s="501"/>
      <c r="AUI44" s="501"/>
      <c r="AUJ44" s="501"/>
      <c r="AUK44" s="501"/>
      <c r="AUL44" s="501"/>
      <c r="AUM44" s="501"/>
      <c r="AUN44" s="501"/>
      <c r="AUO44" s="501"/>
      <c r="AUP44" s="501"/>
      <c r="AUQ44" s="501"/>
      <c r="AUR44" s="501"/>
      <c r="AUS44" s="501"/>
      <c r="AUT44" s="501"/>
      <c r="AUU44" s="501"/>
      <c r="AUV44" s="501"/>
      <c r="AUW44" s="501"/>
      <c r="AUX44" s="501"/>
      <c r="AUY44" s="501"/>
      <c r="AUZ44" s="501"/>
      <c r="AVA44" s="501"/>
      <c r="AVB44" s="501"/>
      <c r="AVC44" s="501"/>
      <c r="AVD44" s="501"/>
      <c r="AVE44" s="501"/>
      <c r="AVF44" s="501"/>
      <c r="AVG44" s="501"/>
      <c r="AVH44" s="501"/>
      <c r="AVI44" s="501"/>
      <c r="AVJ44" s="501"/>
      <c r="AVK44" s="501"/>
      <c r="AVL44" s="501"/>
      <c r="AVM44" s="501"/>
      <c r="AVN44" s="501"/>
      <c r="AVO44" s="501"/>
      <c r="AVP44" s="501"/>
      <c r="AVQ44" s="501"/>
      <c r="AVR44" s="501"/>
      <c r="AVS44" s="501"/>
      <c r="AVT44" s="501"/>
      <c r="AVU44" s="501"/>
      <c r="AVV44" s="501"/>
      <c r="AVW44" s="501"/>
      <c r="AVX44" s="501"/>
      <c r="AVY44" s="501"/>
      <c r="AVZ44" s="501"/>
      <c r="AWA44" s="501"/>
      <c r="AWB44" s="501"/>
      <c r="AWC44" s="501"/>
      <c r="AWD44" s="501"/>
      <c r="AWE44" s="501"/>
      <c r="AWF44" s="501"/>
      <c r="AWG44" s="501"/>
      <c r="AWH44" s="501"/>
      <c r="AWI44" s="501"/>
      <c r="AWJ44" s="501"/>
      <c r="AWK44" s="501"/>
      <c r="AWL44" s="501"/>
      <c r="AWM44" s="501"/>
      <c r="AWN44" s="501"/>
      <c r="AWO44" s="501"/>
      <c r="AWP44" s="501"/>
      <c r="AWQ44" s="501"/>
      <c r="AWR44" s="501"/>
      <c r="AWS44" s="501"/>
      <c r="AWT44" s="501"/>
      <c r="AWU44" s="501"/>
      <c r="AWV44" s="501"/>
      <c r="AWW44" s="501"/>
      <c r="AWX44" s="501"/>
      <c r="AWY44" s="501"/>
      <c r="AWZ44" s="501"/>
      <c r="AXA44" s="501"/>
      <c r="AXB44" s="501"/>
      <c r="AXC44" s="501"/>
      <c r="AXD44" s="501"/>
      <c r="AXE44" s="501"/>
      <c r="AXF44" s="501"/>
      <c r="AXG44" s="501"/>
      <c r="AXH44" s="501"/>
      <c r="AXI44" s="501"/>
      <c r="AXJ44" s="501"/>
      <c r="AXK44" s="501"/>
      <c r="AXL44" s="501"/>
      <c r="AXM44" s="501"/>
      <c r="AXN44" s="501"/>
      <c r="AXO44" s="501"/>
      <c r="AXP44" s="501"/>
      <c r="AXQ44" s="501"/>
      <c r="AXR44" s="501"/>
      <c r="AXS44" s="501"/>
      <c r="AXT44" s="501"/>
      <c r="AXU44" s="501"/>
      <c r="AXV44" s="501"/>
      <c r="AXW44" s="501"/>
      <c r="AXX44" s="501"/>
      <c r="AXY44" s="501"/>
      <c r="AXZ44" s="501"/>
      <c r="AYA44" s="501"/>
      <c r="AYB44" s="501"/>
      <c r="AYC44" s="501"/>
      <c r="AYD44" s="501"/>
      <c r="AYE44" s="501"/>
      <c r="AYF44" s="501"/>
      <c r="AYG44" s="501"/>
      <c r="AYH44" s="501"/>
      <c r="AYI44" s="501"/>
      <c r="AYJ44" s="501"/>
      <c r="AYK44" s="501"/>
      <c r="AYL44" s="501"/>
      <c r="AYM44" s="501"/>
      <c r="AYN44" s="501"/>
      <c r="AYO44" s="501"/>
      <c r="AYP44" s="501"/>
      <c r="AYQ44" s="501"/>
      <c r="AYR44" s="501"/>
      <c r="AYS44" s="501"/>
      <c r="AYT44" s="501"/>
      <c r="AYU44" s="501"/>
      <c r="AYV44" s="501"/>
      <c r="AYW44" s="501"/>
      <c r="AYX44" s="501"/>
      <c r="AYY44" s="501"/>
      <c r="AYZ44" s="501"/>
      <c r="AZA44" s="501"/>
      <c r="AZB44" s="501"/>
      <c r="AZC44" s="501"/>
      <c r="AZD44" s="501"/>
      <c r="AZE44" s="501"/>
      <c r="AZF44" s="501"/>
      <c r="AZG44" s="501"/>
      <c r="AZH44" s="501"/>
      <c r="AZI44" s="501"/>
      <c r="AZJ44" s="501"/>
      <c r="AZK44" s="501"/>
      <c r="AZL44" s="501"/>
      <c r="AZM44" s="501"/>
      <c r="AZN44" s="501"/>
      <c r="AZO44" s="501"/>
      <c r="AZP44" s="501"/>
      <c r="AZQ44" s="501"/>
      <c r="AZR44" s="501"/>
      <c r="AZS44" s="501"/>
      <c r="AZT44" s="501"/>
      <c r="AZU44" s="501"/>
      <c r="AZV44" s="501"/>
      <c r="AZW44" s="501"/>
      <c r="AZX44" s="501"/>
      <c r="AZY44" s="501"/>
      <c r="AZZ44" s="501"/>
      <c r="BAA44" s="501"/>
      <c r="BAB44" s="501"/>
      <c r="BAC44" s="501"/>
      <c r="BAD44" s="501"/>
      <c r="BAE44" s="501"/>
      <c r="BAF44" s="501"/>
      <c r="BAG44" s="501"/>
      <c r="BAH44" s="501"/>
      <c r="BAI44" s="501"/>
      <c r="BAJ44" s="501"/>
      <c r="BAK44" s="501"/>
      <c r="BAL44" s="501"/>
      <c r="BAM44" s="501"/>
      <c r="BAN44" s="501"/>
      <c r="BAO44" s="501"/>
      <c r="BAP44" s="501"/>
      <c r="BAQ44" s="501"/>
      <c r="BAR44" s="501"/>
      <c r="BAS44" s="501"/>
      <c r="BAT44" s="501"/>
      <c r="BAU44" s="501"/>
      <c r="BAV44" s="501"/>
      <c r="BAW44" s="501"/>
      <c r="BAX44" s="501"/>
      <c r="BAY44" s="501"/>
      <c r="BAZ44" s="501"/>
      <c r="BBA44" s="501"/>
      <c r="BBB44" s="501"/>
      <c r="BBC44" s="501"/>
      <c r="BBD44" s="501"/>
      <c r="BBE44" s="501"/>
      <c r="BBF44" s="501"/>
      <c r="BBG44" s="501"/>
      <c r="BBH44" s="501"/>
      <c r="BBI44" s="501"/>
      <c r="BBJ44" s="501"/>
      <c r="BBK44" s="501"/>
      <c r="BBL44" s="501"/>
      <c r="BBM44" s="501"/>
      <c r="BBN44" s="501"/>
      <c r="BBO44" s="501"/>
      <c r="BBP44" s="501"/>
      <c r="BBQ44" s="501"/>
      <c r="BBR44" s="501"/>
      <c r="BBS44" s="501"/>
      <c r="BBT44" s="501"/>
      <c r="BBU44" s="501"/>
      <c r="BBV44" s="501"/>
      <c r="BBW44" s="501"/>
      <c r="BBX44" s="501"/>
      <c r="BBY44" s="501"/>
      <c r="BBZ44" s="501"/>
      <c r="BCA44" s="501"/>
      <c r="BCB44" s="501"/>
      <c r="BCC44" s="501"/>
      <c r="BCD44" s="501"/>
      <c r="BCE44" s="501"/>
      <c r="BCF44" s="501"/>
      <c r="BCG44" s="501"/>
      <c r="BCH44" s="501"/>
      <c r="BCI44" s="501"/>
      <c r="BCJ44" s="501"/>
      <c r="BCK44" s="501"/>
      <c r="BCL44" s="501"/>
      <c r="BCM44" s="501"/>
      <c r="BCN44" s="501"/>
      <c r="BCO44" s="501"/>
      <c r="BCP44" s="501"/>
      <c r="BCQ44" s="501"/>
      <c r="BCR44" s="501"/>
      <c r="BCS44" s="501"/>
      <c r="BCT44" s="501"/>
      <c r="BCU44" s="501"/>
      <c r="BCV44" s="501"/>
      <c r="BCW44" s="501"/>
      <c r="BCX44" s="501"/>
      <c r="BCY44" s="501"/>
      <c r="BCZ44" s="501"/>
      <c r="BDA44" s="501"/>
      <c r="BDB44" s="501"/>
      <c r="BDC44" s="501"/>
      <c r="BDD44" s="501"/>
      <c r="BDE44" s="501"/>
      <c r="BDF44" s="501"/>
      <c r="BDG44" s="501"/>
      <c r="BDH44" s="501"/>
      <c r="BDI44" s="501"/>
      <c r="BDJ44" s="501"/>
      <c r="BDK44" s="501"/>
      <c r="BDL44" s="501"/>
      <c r="BDM44" s="501"/>
      <c r="BDN44" s="501"/>
      <c r="BDO44" s="501"/>
      <c r="BDP44" s="501"/>
      <c r="BDQ44" s="501"/>
      <c r="BDR44" s="501"/>
      <c r="BDS44" s="501"/>
      <c r="BDT44" s="501"/>
      <c r="BDU44" s="501"/>
      <c r="BDV44" s="501"/>
      <c r="BDW44" s="501"/>
      <c r="BDX44" s="501"/>
      <c r="BDY44" s="501"/>
      <c r="BDZ44" s="501"/>
      <c r="BEA44" s="501"/>
      <c r="BEB44" s="501"/>
      <c r="BEC44" s="501"/>
      <c r="BED44" s="501"/>
      <c r="BEE44" s="501"/>
      <c r="BEF44" s="501"/>
      <c r="BEG44" s="501"/>
      <c r="BEH44" s="501"/>
      <c r="BEI44" s="501"/>
      <c r="BEJ44" s="501"/>
      <c r="BEK44" s="501"/>
      <c r="BEL44" s="501"/>
      <c r="BEM44" s="501"/>
      <c r="BEN44" s="501"/>
      <c r="BEO44" s="501"/>
      <c r="BEP44" s="501"/>
      <c r="BEQ44" s="501"/>
      <c r="BER44" s="501"/>
      <c r="BES44" s="501"/>
      <c r="BET44" s="501"/>
      <c r="BEU44" s="501"/>
      <c r="BEV44" s="501"/>
      <c r="BEW44" s="501"/>
      <c r="BEX44" s="501"/>
      <c r="BEY44" s="501"/>
      <c r="BEZ44" s="501"/>
      <c r="BFA44" s="501"/>
      <c r="BFB44" s="501"/>
      <c r="BFC44" s="501"/>
      <c r="BFD44" s="501"/>
      <c r="BFE44" s="501"/>
      <c r="BFF44" s="501"/>
      <c r="BFG44" s="501"/>
      <c r="BFH44" s="501"/>
      <c r="BFI44" s="501"/>
      <c r="BFJ44" s="501"/>
      <c r="BFK44" s="501"/>
      <c r="BFL44" s="501"/>
      <c r="BFM44" s="501"/>
      <c r="BFN44" s="501"/>
      <c r="BFO44" s="501"/>
      <c r="BFP44" s="501"/>
      <c r="BFQ44" s="501"/>
      <c r="BFR44" s="501"/>
      <c r="BFS44" s="501"/>
      <c r="BFT44" s="501"/>
      <c r="BFU44" s="501"/>
      <c r="BFV44" s="501"/>
      <c r="BFW44" s="501"/>
      <c r="BFX44" s="501"/>
      <c r="BFY44" s="501"/>
      <c r="BFZ44" s="501"/>
      <c r="BGA44" s="501"/>
      <c r="BGB44" s="501"/>
      <c r="BGC44" s="501"/>
      <c r="BGD44" s="501"/>
      <c r="BGE44" s="501"/>
      <c r="BGF44" s="501"/>
      <c r="BGG44" s="501"/>
      <c r="BGH44" s="501"/>
      <c r="BGI44" s="501"/>
      <c r="BGJ44" s="501"/>
      <c r="BGK44" s="501"/>
      <c r="BGL44" s="501"/>
      <c r="BGM44" s="501"/>
      <c r="BGN44" s="501"/>
      <c r="BGO44" s="501"/>
      <c r="BGP44" s="501"/>
      <c r="BGQ44" s="501"/>
      <c r="BGR44" s="501"/>
      <c r="BGS44" s="501"/>
      <c r="BGT44" s="501"/>
      <c r="BGU44" s="501"/>
      <c r="BGV44" s="501"/>
      <c r="BGW44" s="501"/>
      <c r="BGX44" s="501"/>
      <c r="BGY44" s="501"/>
      <c r="BGZ44" s="501"/>
      <c r="BHA44" s="501"/>
      <c r="BHB44" s="501"/>
      <c r="BHC44" s="501"/>
      <c r="BHD44" s="501"/>
      <c r="BHE44" s="501"/>
      <c r="BHF44" s="501"/>
      <c r="BHG44" s="501"/>
      <c r="BHH44" s="501"/>
      <c r="BHI44" s="501"/>
      <c r="BHJ44" s="501"/>
      <c r="BHK44" s="501"/>
      <c r="BHL44" s="501"/>
      <c r="BHM44" s="501"/>
      <c r="BHN44" s="501"/>
      <c r="BHO44" s="501"/>
      <c r="BHP44" s="501"/>
      <c r="BHQ44" s="501"/>
      <c r="BHR44" s="501"/>
      <c r="BHS44" s="501"/>
      <c r="BHT44" s="501"/>
      <c r="BHU44" s="501"/>
      <c r="BHV44" s="501"/>
      <c r="BHW44" s="501"/>
      <c r="BHX44" s="501"/>
      <c r="BHY44" s="501"/>
      <c r="BHZ44" s="501"/>
      <c r="BIA44" s="501"/>
      <c r="BIB44" s="501"/>
      <c r="BIC44" s="501"/>
      <c r="BID44" s="501"/>
      <c r="BIE44" s="501"/>
      <c r="BIF44" s="501"/>
      <c r="BIG44" s="501"/>
      <c r="BIH44" s="501"/>
      <c r="BII44" s="501"/>
      <c r="BIJ44" s="501"/>
      <c r="BIK44" s="501"/>
      <c r="BIL44" s="501"/>
      <c r="BIM44" s="501"/>
      <c r="BIN44" s="501"/>
      <c r="BIO44" s="501"/>
      <c r="BIP44" s="501"/>
      <c r="BIQ44" s="501"/>
      <c r="BIR44" s="501"/>
      <c r="BIS44" s="501"/>
      <c r="BIT44" s="501"/>
      <c r="BIU44" s="501"/>
      <c r="BIV44" s="501"/>
      <c r="BIW44" s="501"/>
      <c r="BIX44" s="501"/>
      <c r="BIY44" s="501"/>
      <c r="BIZ44" s="501"/>
      <c r="BJA44" s="501"/>
      <c r="BJB44" s="501"/>
      <c r="BJC44" s="501"/>
      <c r="BJD44" s="501"/>
      <c r="BJE44" s="501"/>
      <c r="BJF44" s="501"/>
      <c r="BJG44" s="501"/>
      <c r="BJH44" s="501"/>
      <c r="BJI44" s="501"/>
      <c r="BJJ44" s="501"/>
      <c r="BJK44" s="501"/>
      <c r="BJL44" s="501"/>
      <c r="BJM44" s="501"/>
      <c r="BJN44" s="501"/>
      <c r="BJO44" s="501"/>
      <c r="BJP44" s="501"/>
      <c r="BJQ44" s="501"/>
      <c r="BJR44" s="501"/>
      <c r="BJS44" s="501"/>
      <c r="BJT44" s="501"/>
      <c r="BJU44" s="501"/>
      <c r="BJV44" s="501"/>
      <c r="BJW44" s="501"/>
      <c r="BJX44" s="501"/>
      <c r="BJY44" s="501"/>
      <c r="BJZ44" s="501"/>
      <c r="BKA44" s="501"/>
      <c r="BKB44" s="501"/>
      <c r="BKC44" s="501"/>
      <c r="BKD44" s="501"/>
      <c r="BKE44" s="501"/>
      <c r="BKF44" s="501"/>
      <c r="BKG44" s="501"/>
      <c r="BKH44" s="501"/>
      <c r="BKI44" s="501"/>
      <c r="BKJ44" s="501"/>
      <c r="BKK44" s="501"/>
      <c r="BKL44" s="501"/>
      <c r="BKM44" s="501"/>
      <c r="BKN44" s="501"/>
      <c r="BKO44" s="501"/>
      <c r="BKP44" s="501"/>
      <c r="BKQ44" s="501"/>
      <c r="BKR44" s="501"/>
      <c r="BKS44" s="501"/>
      <c r="BKT44" s="501"/>
      <c r="BKU44" s="501"/>
      <c r="BKV44" s="501"/>
      <c r="BKW44" s="501"/>
      <c r="BKX44" s="501"/>
      <c r="BKY44" s="501"/>
      <c r="BKZ44" s="501"/>
      <c r="BLA44" s="501"/>
      <c r="BLB44" s="501"/>
      <c r="BLC44" s="501"/>
      <c r="BLD44" s="501"/>
      <c r="BLE44" s="501"/>
      <c r="BLF44" s="501"/>
      <c r="BLG44" s="501"/>
      <c r="BLH44" s="501"/>
      <c r="BLI44" s="501"/>
      <c r="BLJ44" s="501"/>
      <c r="BLK44" s="501"/>
      <c r="BLL44" s="501"/>
      <c r="BLM44" s="501"/>
      <c r="BLN44" s="501"/>
      <c r="BLO44" s="501"/>
      <c r="BLP44" s="501"/>
      <c r="BLQ44" s="501"/>
      <c r="BLR44" s="501"/>
      <c r="BLS44" s="501"/>
      <c r="BLT44" s="501"/>
      <c r="BLU44" s="501"/>
      <c r="BLV44" s="501"/>
      <c r="BLW44" s="501"/>
      <c r="BLX44" s="501"/>
      <c r="BLY44" s="501"/>
      <c r="BLZ44" s="501"/>
      <c r="BMA44" s="501"/>
      <c r="BMB44" s="501"/>
      <c r="BMC44" s="501"/>
      <c r="BMD44" s="501"/>
      <c r="BME44" s="501"/>
      <c r="BMF44" s="501"/>
      <c r="BMG44" s="501"/>
      <c r="BMH44" s="501"/>
      <c r="BMI44" s="501"/>
      <c r="BMJ44" s="501"/>
      <c r="BMK44" s="501"/>
      <c r="BML44" s="501"/>
      <c r="BMM44" s="501"/>
      <c r="BMN44" s="501"/>
      <c r="BMO44" s="501"/>
      <c r="BMP44" s="501"/>
      <c r="BMQ44" s="501"/>
      <c r="BMR44" s="501"/>
      <c r="BMS44" s="501"/>
      <c r="BMT44" s="501"/>
      <c r="BMU44" s="501"/>
      <c r="BMV44" s="501"/>
      <c r="BMW44" s="501"/>
      <c r="BMX44" s="501"/>
      <c r="BMY44" s="501"/>
      <c r="BMZ44" s="501"/>
      <c r="BNA44" s="501"/>
      <c r="BNB44" s="501"/>
      <c r="BNC44" s="501"/>
      <c r="BND44" s="501"/>
      <c r="BNE44" s="501"/>
      <c r="BNF44" s="501"/>
      <c r="BNG44" s="501"/>
      <c r="BNH44" s="501"/>
      <c r="BNI44" s="501"/>
      <c r="BNJ44" s="501"/>
      <c r="BNK44" s="501"/>
      <c r="BNL44" s="501"/>
      <c r="BNM44" s="501"/>
      <c r="BNN44" s="501"/>
      <c r="BNO44" s="501"/>
      <c r="BNP44" s="501"/>
      <c r="BNQ44" s="501"/>
      <c r="BNR44" s="501"/>
      <c r="BNS44" s="501"/>
      <c r="BNT44" s="501"/>
      <c r="BNU44" s="501"/>
      <c r="BNV44" s="501"/>
      <c r="BNW44" s="501"/>
      <c r="BNX44" s="501"/>
      <c r="BNY44" s="501"/>
      <c r="BNZ44" s="501"/>
      <c r="BOA44" s="501"/>
      <c r="BOB44" s="501"/>
      <c r="BOC44" s="501"/>
      <c r="BOD44" s="501"/>
      <c r="BOE44" s="501"/>
      <c r="BOF44" s="501"/>
      <c r="BOG44" s="501"/>
      <c r="BOH44" s="501"/>
      <c r="BOI44" s="501"/>
      <c r="BOJ44" s="501"/>
      <c r="BOK44" s="501"/>
      <c r="BOL44" s="501"/>
      <c r="BOM44" s="501"/>
      <c r="BON44" s="501"/>
      <c r="BOO44" s="501"/>
      <c r="BOP44" s="501"/>
      <c r="BOQ44" s="501"/>
      <c r="BOR44" s="501"/>
      <c r="BOS44" s="501"/>
      <c r="BOT44" s="501"/>
      <c r="BOU44" s="501"/>
      <c r="BOV44" s="501"/>
      <c r="BOW44" s="501"/>
      <c r="BOX44" s="501"/>
      <c r="BOY44" s="501"/>
      <c r="BOZ44" s="501"/>
      <c r="BPA44" s="501"/>
      <c r="BPB44" s="501"/>
      <c r="BPC44" s="501"/>
      <c r="BPD44" s="501"/>
      <c r="BPE44" s="501"/>
      <c r="BPF44" s="501"/>
      <c r="BPG44" s="501"/>
      <c r="BPH44" s="501"/>
      <c r="BPI44" s="501"/>
      <c r="BPJ44" s="501"/>
      <c r="BPK44" s="501"/>
      <c r="BPL44" s="501"/>
      <c r="BPM44" s="501"/>
      <c r="BPN44" s="501"/>
      <c r="BPO44" s="501"/>
      <c r="BPP44" s="501"/>
      <c r="BPQ44" s="501"/>
      <c r="BPR44" s="501"/>
      <c r="BPS44" s="501"/>
      <c r="BPT44" s="501"/>
      <c r="BPU44" s="501"/>
      <c r="BPV44" s="501"/>
      <c r="BPW44" s="501"/>
      <c r="BPX44" s="501"/>
      <c r="BPY44" s="501"/>
      <c r="BPZ44" s="501"/>
      <c r="BQA44" s="501"/>
      <c r="BQB44" s="501"/>
      <c r="BQC44" s="501"/>
      <c r="BQD44" s="501"/>
      <c r="BQE44" s="501"/>
      <c r="BQF44" s="501"/>
      <c r="BQG44" s="501"/>
      <c r="BQH44" s="501"/>
      <c r="BQI44" s="501"/>
      <c r="BQJ44" s="501"/>
      <c r="BQK44" s="501"/>
      <c r="BQL44" s="501"/>
      <c r="BQM44" s="501"/>
      <c r="BQN44" s="501"/>
      <c r="BQO44" s="501"/>
      <c r="BQP44" s="501"/>
      <c r="BQQ44" s="501"/>
      <c r="BQR44" s="501"/>
      <c r="BQS44" s="501"/>
      <c r="BQT44" s="501"/>
      <c r="BQU44" s="501"/>
      <c r="BQV44" s="501"/>
      <c r="BQW44" s="501"/>
      <c r="BQX44" s="501"/>
      <c r="BQY44" s="501"/>
      <c r="BQZ44" s="501"/>
      <c r="BRA44" s="501"/>
      <c r="BRB44" s="501"/>
      <c r="BRC44" s="501"/>
      <c r="BRD44" s="501"/>
      <c r="BRE44" s="501"/>
      <c r="BRF44" s="501"/>
      <c r="BRG44" s="501"/>
      <c r="BRH44" s="501"/>
      <c r="BRI44" s="501"/>
      <c r="BRJ44" s="501"/>
      <c r="BRK44" s="501"/>
      <c r="BRL44" s="501"/>
      <c r="BRM44" s="501"/>
      <c r="BRN44" s="501"/>
      <c r="BRO44" s="501"/>
      <c r="BRP44" s="501"/>
      <c r="BRQ44" s="501"/>
      <c r="BRR44" s="501"/>
      <c r="BRS44" s="501"/>
      <c r="BRT44" s="501"/>
      <c r="BRU44" s="501"/>
      <c r="BRV44" s="501"/>
      <c r="BRW44" s="501"/>
      <c r="BRX44" s="501"/>
      <c r="BRY44" s="501"/>
      <c r="BRZ44" s="501"/>
      <c r="BSA44" s="501"/>
      <c r="BSB44" s="501"/>
      <c r="BSC44" s="501"/>
    </row>
    <row r="45" spans="1:1849" ht="15" x14ac:dyDescent="0.2">
      <c r="A45" s="686">
        <v>44</v>
      </c>
      <c r="B45" s="580" t="s">
        <v>25</v>
      </c>
      <c r="C45" s="593" t="s">
        <v>432</v>
      </c>
      <c r="D45" s="317" t="s">
        <v>26</v>
      </c>
      <c r="E45" s="580" t="s">
        <v>27</v>
      </c>
      <c r="F45" s="317">
        <v>25</v>
      </c>
      <c r="G45" s="317">
        <v>25</v>
      </c>
      <c r="H45" s="317">
        <v>26</v>
      </c>
      <c r="I45" s="317">
        <v>25</v>
      </c>
      <c r="J45" s="580">
        <v>1</v>
      </c>
      <c r="K45" s="580">
        <f t="shared" si="1"/>
        <v>625</v>
      </c>
      <c r="L45" s="580" t="s">
        <v>41</v>
      </c>
      <c r="M45" s="581" t="s">
        <v>308</v>
      </c>
      <c r="N45" s="594" t="s">
        <v>46</v>
      </c>
      <c r="O45" s="317">
        <v>79.103110999999998</v>
      </c>
      <c r="P45" s="582">
        <v>50000</v>
      </c>
      <c r="Q45" s="317">
        <v>60000</v>
      </c>
      <c r="R45" s="317">
        <v>90000</v>
      </c>
    </row>
    <row r="46" spans="1:1849" s="595" customFormat="1" ht="15" x14ac:dyDescent="0.2">
      <c r="A46" s="503">
        <v>45</v>
      </c>
      <c r="B46" s="504" t="s">
        <v>25</v>
      </c>
      <c r="C46" s="447" t="s">
        <v>448</v>
      </c>
      <c r="D46" s="504" t="s">
        <v>30</v>
      </c>
      <c r="E46" s="504" t="s">
        <v>27</v>
      </c>
      <c r="F46" s="504">
        <v>20</v>
      </c>
      <c r="G46" s="504">
        <v>30</v>
      </c>
      <c r="H46" s="504">
        <v>20</v>
      </c>
      <c r="I46" s="504">
        <v>30</v>
      </c>
      <c r="J46" s="504">
        <v>1</v>
      </c>
      <c r="K46" s="504">
        <f t="shared" si="1"/>
        <v>600</v>
      </c>
      <c r="L46" s="504" t="s">
        <v>28</v>
      </c>
      <c r="M46" s="509" t="s">
        <v>312</v>
      </c>
      <c r="N46" s="510" t="s">
        <v>246</v>
      </c>
      <c r="O46" s="504">
        <v>79.063981999999996</v>
      </c>
      <c r="P46" s="504">
        <v>30000</v>
      </c>
      <c r="Q46" s="504">
        <v>40000</v>
      </c>
      <c r="R46" s="504">
        <v>70000</v>
      </c>
    </row>
    <row r="47" spans="1:1849" s="502" customFormat="1" ht="15" x14ac:dyDescent="0.2">
      <c r="A47" s="686">
        <v>46</v>
      </c>
      <c r="B47" s="580" t="s">
        <v>25</v>
      </c>
      <c r="C47" s="593" t="s">
        <v>433</v>
      </c>
      <c r="D47" s="580" t="s">
        <v>26</v>
      </c>
      <c r="E47" s="580" t="s">
        <v>27</v>
      </c>
      <c r="F47" s="580">
        <v>20</v>
      </c>
      <c r="G47" s="580">
        <v>20</v>
      </c>
      <c r="H47" s="580">
        <v>20</v>
      </c>
      <c r="I47" s="580">
        <v>20</v>
      </c>
      <c r="J47" s="580">
        <v>1</v>
      </c>
      <c r="K47" s="580">
        <f t="shared" si="1"/>
        <v>400</v>
      </c>
      <c r="L47" s="580" t="s">
        <v>41</v>
      </c>
      <c r="M47" s="635" t="s">
        <v>313</v>
      </c>
      <c r="N47" s="580">
        <v>21.148139</v>
      </c>
      <c r="O47" s="580">
        <v>79.096082999999993</v>
      </c>
      <c r="P47" s="582">
        <v>35000</v>
      </c>
      <c r="Q47" s="317">
        <v>40000</v>
      </c>
      <c r="R47" s="317">
        <v>65000</v>
      </c>
      <c r="S47" s="501"/>
      <c r="T47" s="501"/>
      <c r="U47" s="501"/>
      <c r="V47" s="501"/>
      <c r="W47" s="501"/>
      <c r="X47" s="501"/>
      <c r="Y47" s="501"/>
      <c r="Z47" s="501"/>
      <c r="AA47" s="501"/>
      <c r="AB47" s="501"/>
      <c r="AC47" s="501"/>
      <c r="AD47" s="501"/>
      <c r="AE47" s="501"/>
      <c r="AF47" s="501"/>
      <c r="AG47" s="501"/>
      <c r="AH47" s="501"/>
      <c r="AI47" s="501"/>
      <c r="AJ47" s="501"/>
      <c r="AK47" s="501"/>
      <c r="AL47" s="501"/>
      <c r="AM47" s="501"/>
      <c r="AN47" s="501"/>
      <c r="AO47" s="501"/>
      <c r="AP47" s="501"/>
      <c r="AQ47" s="501"/>
      <c r="AR47" s="501"/>
      <c r="AS47" s="501"/>
      <c r="AT47" s="501"/>
      <c r="AU47" s="501"/>
      <c r="AV47" s="501"/>
      <c r="AW47" s="501"/>
      <c r="AX47" s="501"/>
      <c r="AY47" s="501"/>
      <c r="AZ47" s="501"/>
      <c r="BA47" s="501"/>
      <c r="BB47" s="501"/>
      <c r="BC47" s="501"/>
      <c r="BD47" s="501"/>
      <c r="BE47" s="501"/>
      <c r="BF47" s="501"/>
      <c r="BG47" s="501"/>
      <c r="BH47" s="501"/>
      <c r="BI47" s="501"/>
      <c r="BJ47" s="501"/>
      <c r="BK47" s="501"/>
      <c r="BL47" s="501"/>
      <c r="BM47" s="501"/>
      <c r="BN47" s="501"/>
      <c r="BO47" s="501"/>
      <c r="BP47" s="501"/>
      <c r="BQ47" s="501"/>
      <c r="BR47" s="501"/>
      <c r="BS47" s="501"/>
      <c r="BT47" s="501"/>
      <c r="BU47" s="501"/>
      <c r="BV47" s="501"/>
      <c r="BW47" s="501"/>
      <c r="BX47" s="501"/>
      <c r="BY47" s="501"/>
      <c r="BZ47" s="501"/>
      <c r="CA47" s="501"/>
      <c r="CB47" s="501"/>
      <c r="CC47" s="501"/>
      <c r="CD47" s="501"/>
      <c r="CE47" s="501"/>
      <c r="CF47" s="501"/>
      <c r="CG47" s="501"/>
      <c r="CH47" s="501"/>
      <c r="CI47" s="501"/>
      <c r="CJ47" s="501"/>
      <c r="CK47" s="501"/>
      <c r="CL47" s="501"/>
      <c r="CM47" s="501"/>
      <c r="CN47" s="501"/>
      <c r="CO47" s="501"/>
      <c r="CP47" s="501"/>
      <c r="CQ47" s="501"/>
      <c r="CR47" s="501"/>
      <c r="CS47" s="501"/>
      <c r="CT47" s="501"/>
      <c r="CU47" s="501"/>
      <c r="CV47" s="501"/>
      <c r="CW47" s="501"/>
      <c r="CX47" s="501"/>
      <c r="CY47" s="501"/>
      <c r="CZ47" s="501"/>
      <c r="DA47" s="501"/>
      <c r="DB47" s="501"/>
      <c r="DC47" s="501"/>
      <c r="DD47" s="501"/>
      <c r="DE47" s="501"/>
      <c r="DF47" s="501"/>
      <c r="DG47" s="501"/>
      <c r="DH47" s="501"/>
      <c r="DI47" s="501"/>
      <c r="DJ47" s="501"/>
      <c r="DK47" s="501"/>
      <c r="DL47" s="501"/>
      <c r="DM47" s="501"/>
      <c r="DN47" s="501"/>
      <c r="DO47" s="501"/>
      <c r="DP47" s="501"/>
      <c r="DQ47" s="501"/>
      <c r="DR47" s="501"/>
      <c r="DS47" s="501"/>
      <c r="DT47" s="501"/>
      <c r="DU47" s="501"/>
      <c r="DV47" s="501"/>
      <c r="DW47" s="501"/>
      <c r="DX47" s="501"/>
      <c r="DY47" s="501"/>
      <c r="DZ47" s="501"/>
      <c r="EA47" s="501"/>
      <c r="EB47" s="501"/>
      <c r="EC47" s="501"/>
      <c r="ED47" s="501"/>
      <c r="EE47" s="501"/>
      <c r="EF47" s="501"/>
      <c r="EG47" s="501"/>
      <c r="EH47" s="501"/>
      <c r="EI47" s="501"/>
      <c r="EJ47" s="501"/>
      <c r="EK47" s="501"/>
      <c r="EL47" s="501"/>
      <c r="EM47" s="501"/>
      <c r="EN47" s="501"/>
      <c r="EO47" s="501"/>
      <c r="EP47" s="501"/>
      <c r="EQ47" s="501"/>
      <c r="ER47" s="501"/>
      <c r="ES47" s="501"/>
      <c r="ET47" s="501"/>
      <c r="EU47" s="501"/>
      <c r="EV47" s="501"/>
      <c r="EW47" s="501"/>
      <c r="EX47" s="501"/>
      <c r="EY47" s="501"/>
      <c r="EZ47" s="501"/>
      <c r="FA47" s="501"/>
      <c r="FB47" s="501"/>
      <c r="FC47" s="501"/>
      <c r="FD47" s="501"/>
      <c r="FE47" s="501"/>
      <c r="FF47" s="501"/>
      <c r="FG47" s="501"/>
      <c r="FH47" s="501"/>
      <c r="FI47" s="501"/>
      <c r="FJ47" s="501"/>
      <c r="FK47" s="501"/>
      <c r="FL47" s="501"/>
      <c r="FM47" s="501"/>
      <c r="FN47" s="501"/>
      <c r="FO47" s="501"/>
      <c r="FP47" s="501"/>
      <c r="FQ47" s="501"/>
      <c r="FR47" s="501"/>
      <c r="FS47" s="501"/>
      <c r="FT47" s="501"/>
      <c r="FU47" s="501"/>
      <c r="FV47" s="501"/>
      <c r="FW47" s="501"/>
      <c r="FX47" s="501"/>
      <c r="FY47" s="501"/>
      <c r="FZ47" s="501"/>
      <c r="GA47" s="501"/>
      <c r="GB47" s="501"/>
      <c r="GC47" s="501"/>
      <c r="GD47" s="501"/>
      <c r="GE47" s="501"/>
      <c r="GF47" s="501"/>
      <c r="GG47" s="501"/>
      <c r="GH47" s="501"/>
      <c r="GI47" s="501"/>
      <c r="GJ47" s="501"/>
      <c r="GK47" s="501"/>
      <c r="GL47" s="501"/>
      <c r="GM47" s="501"/>
      <c r="GN47" s="501"/>
      <c r="GO47" s="501"/>
      <c r="GP47" s="501"/>
      <c r="GQ47" s="501"/>
      <c r="GR47" s="501"/>
      <c r="GS47" s="501"/>
      <c r="GT47" s="501"/>
      <c r="GU47" s="501"/>
      <c r="GV47" s="501"/>
      <c r="GW47" s="501"/>
      <c r="GX47" s="501"/>
      <c r="GY47" s="501"/>
      <c r="GZ47" s="501"/>
      <c r="HA47" s="501"/>
      <c r="HB47" s="501"/>
      <c r="HC47" s="501"/>
      <c r="HD47" s="501"/>
      <c r="HE47" s="501"/>
      <c r="HF47" s="501"/>
      <c r="HG47" s="501"/>
      <c r="HH47" s="501"/>
      <c r="HI47" s="501"/>
      <c r="HJ47" s="501"/>
      <c r="HK47" s="501"/>
      <c r="HL47" s="501"/>
      <c r="HM47" s="501"/>
      <c r="HN47" s="501"/>
      <c r="HO47" s="501"/>
      <c r="HP47" s="501"/>
      <c r="HQ47" s="501"/>
      <c r="HR47" s="501"/>
      <c r="HS47" s="501"/>
      <c r="HT47" s="501"/>
      <c r="HU47" s="501"/>
      <c r="HV47" s="501"/>
      <c r="HW47" s="501"/>
      <c r="HX47" s="501"/>
      <c r="HY47" s="501"/>
      <c r="HZ47" s="501"/>
      <c r="IA47" s="501"/>
      <c r="IB47" s="501"/>
      <c r="IC47" s="501"/>
      <c r="ID47" s="501"/>
      <c r="IE47" s="501"/>
      <c r="IF47" s="501"/>
      <c r="IG47" s="501"/>
      <c r="IH47" s="501"/>
      <c r="II47" s="501"/>
      <c r="IJ47" s="501"/>
      <c r="IK47" s="501"/>
      <c r="IL47" s="501"/>
      <c r="IM47" s="501"/>
      <c r="IN47" s="501"/>
      <c r="IO47" s="501"/>
      <c r="IP47" s="501"/>
      <c r="IQ47" s="501"/>
      <c r="IR47" s="501"/>
      <c r="IS47" s="501"/>
      <c r="IT47" s="501"/>
      <c r="IU47" s="501"/>
      <c r="IV47" s="501"/>
      <c r="IW47" s="501"/>
      <c r="IX47" s="501"/>
      <c r="IY47" s="501"/>
      <c r="IZ47" s="501"/>
      <c r="JA47" s="501"/>
      <c r="JB47" s="501"/>
      <c r="JC47" s="501"/>
      <c r="JD47" s="501"/>
      <c r="JE47" s="501"/>
      <c r="JF47" s="501"/>
      <c r="JG47" s="501"/>
      <c r="JH47" s="501"/>
      <c r="JI47" s="501"/>
      <c r="JJ47" s="501"/>
      <c r="JK47" s="501"/>
      <c r="JL47" s="501"/>
      <c r="JM47" s="501"/>
      <c r="JN47" s="501"/>
      <c r="JO47" s="501"/>
      <c r="JP47" s="501"/>
      <c r="JQ47" s="501"/>
      <c r="JR47" s="501"/>
      <c r="JS47" s="501"/>
      <c r="JT47" s="501"/>
      <c r="JU47" s="501"/>
      <c r="JV47" s="501"/>
      <c r="JW47" s="501"/>
      <c r="JX47" s="501"/>
      <c r="JY47" s="501"/>
      <c r="JZ47" s="501"/>
      <c r="KA47" s="501"/>
      <c r="KB47" s="501"/>
      <c r="KC47" s="501"/>
      <c r="KD47" s="501"/>
      <c r="KE47" s="501"/>
      <c r="KF47" s="501"/>
      <c r="KG47" s="501"/>
      <c r="KH47" s="501"/>
      <c r="KI47" s="501"/>
      <c r="KJ47" s="501"/>
      <c r="KK47" s="501"/>
      <c r="KL47" s="501"/>
      <c r="KM47" s="501"/>
      <c r="KN47" s="501"/>
      <c r="KO47" s="501"/>
      <c r="KP47" s="501"/>
      <c r="KQ47" s="501"/>
      <c r="KR47" s="501"/>
      <c r="KS47" s="501"/>
      <c r="KT47" s="501"/>
      <c r="KU47" s="501"/>
      <c r="KV47" s="501"/>
      <c r="KW47" s="501"/>
      <c r="KX47" s="501"/>
      <c r="KY47" s="501"/>
      <c r="KZ47" s="501"/>
      <c r="LA47" s="501"/>
      <c r="LB47" s="501"/>
      <c r="LC47" s="501"/>
      <c r="LD47" s="501"/>
      <c r="LE47" s="501"/>
      <c r="LF47" s="501"/>
      <c r="LG47" s="501"/>
      <c r="LH47" s="501"/>
      <c r="LI47" s="501"/>
      <c r="LJ47" s="501"/>
      <c r="LK47" s="501"/>
      <c r="LL47" s="501"/>
      <c r="LM47" s="501"/>
      <c r="LN47" s="501"/>
      <c r="LO47" s="501"/>
      <c r="LP47" s="501"/>
      <c r="LQ47" s="501"/>
      <c r="LR47" s="501"/>
      <c r="LS47" s="501"/>
      <c r="LT47" s="501"/>
      <c r="LU47" s="501"/>
      <c r="LV47" s="501"/>
      <c r="LW47" s="501"/>
      <c r="LX47" s="501"/>
      <c r="LY47" s="501"/>
      <c r="LZ47" s="501"/>
      <c r="MA47" s="501"/>
      <c r="MB47" s="501"/>
      <c r="MC47" s="501"/>
      <c r="MD47" s="501"/>
      <c r="ME47" s="501"/>
      <c r="MF47" s="501"/>
      <c r="MG47" s="501"/>
      <c r="MH47" s="501"/>
      <c r="MI47" s="501"/>
      <c r="MJ47" s="501"/>
      <c r="MK47" s="501"/>
      <c r="ML47" s="501"/>
      <c r="MM47" s="501"/>
      <c r="MN47" s="501"/>
      <c r="MO47" s="501"/>
      <c r="MP47" s="501"/>
      <c r="MQ47" s="501"/>
      <c r="MR47" s="501"/>
      <c r="MS47" s="501"/>
      <c r="MT47" s="501"/>
      <c r="MU47" s="501"/>
      <c r="MV47" s="501"/>
      <c r="MW47" s="501"/>
      <c r="MX47" s="501"/>
      <c r="MY47" s="501"/>
      <c r="MZ47" s="501"/>
      <c r="NA47" s="501"/>
      <c r="NB47" s="501"/>
      <c r="NC47" s="501"/>
      <c r="ND47" s="501"/>
      <c r="NE47" s="501"/>
      <c r="NF47" s="501"/>
      <c r="NG47" s="501"/>
      <c r="NH47" s="501"/>
      <c r="NI47" s="501"/>
      <c r="NJ47" s="501"/>
      <c r="NK47" s="501"/>
      <c r="NL47" s="501"/>
      <c r="NM47" s="501"/>
      <c r="NN47" s="501"/>
      <c r="NO47" s="501"/>
      <c r="NP47" s="501"/>
      <c r="NQ47" s="501"/>
      <c r="NR47" s="501"/>
      <c r="NS47" s="501"/>
      <c r="NT47" s="501"/>
      <c r="NU47" s="501"/>
      <c r="NV47" s="501"/>
      <c r="NW47" s="501"/>
      <c r="NX47" s="501"/>
      <c r="NY47" s="501"/>
      <c r="NZ47" s="501"/>
      <c r="OA47" s="501"/>
      <c r="OB47" s="501"/>
      <c r="OC47" s="501"/>
      <c r="OD47" s="501"/>
      <c r="OE47" s="501"/>
      <c r="OF47" s="501"/>
      <c r="OG47" s="501"/>
      <c r="OH47" s="501"/>
      <c r="OI47" s="501"/>
      <c r="OJ47" s="501"/>
      <c r="OK47" s="501"/>
      <c r="OL47" s="501"/>
      <c r="OM47" s="501"/>
      <c r="ON47" s="501"/>
      <c r="OO47" s="501"/>
      <c r="OP47" s="501"/>
      <c r="OQ47" s="501"/>
      <c r="OR47" s="501"/>
      <c r="OS47" s="501"/>
      <c r="OT47" s="501"/>
      <c r="OU47" s="501"/>
      <c r="OV47" s="501"/>
      <c r="OW47" s="501"/>
      <c r="OX47" s="501"/>
      <c r="OY47" s="501"/>
      <c r="OZ47" s="501"/>
      <c r="PA47" s="501"/>
      <c r="PB47" s="501"/>
      <c r="PC47" s="501"/>
      <c r="PD47" s="501"/>
      <c r="PE47" s="501"/>
      <c r="PF47" s="501"/>
      <c r="PG47" s="501"/>
      <c r="PH47" s="501"/>
      <c r="PI47" s="501"/>
      <c r="PJ47" s="501"/>
      <c r="PK47" s="501"/>
      <c r="PL47" s="501"/>
      <c r="PM47" s="501"/>
      <c r="PN47" s="501"/>
      <c r="PO47" s="501"/>
      <c r="PP47" s="501"/>
      <c r="PQ47" s="501"/>
      <c r="PR47" s="501"/>
      <c r="PS47" s="501"/>
      <c r="PT47" s="501"/>
      <c r="PU47" s="501"/>
      <c r="PV47" s="501"/>
      <c r="PW47" s="501"/>
      <c r="PX47" s="501"/>
      <c r="PY47" s="501"/>
      <c r="PZ47" s="501"/>
      <c r="QA47" s="501"/>
      <c r="QB47" s="501"/>
      <c r="QC47" s="501"/>
      <c r="QD47" s="501"/>
      <c r="QE47" s="501"/>
      <c r="QF47" s="501"/>
      <c r="QG47" s="501"/>
      <c r="QH47" s="501"/>
      <c r="QI47" s="501"/>
      <c r="QJ47" s="501"/>
      <c r="QK47" s="501"/>
      <c r="QL47" s="501"/>
      <c r="QM47" s="501"/>
      <c r="QN47" s="501"/>
      <c r="QO47" s="501"/>
      <c r="QP47" s="501"/>
      <c r="QQ47" s="501"/>
      <c r="QR47" s="501"/>
      <c r="QS47" s="501"/>
      <c r="QT47" s="501"/>
      <c r="QU47" s="501"/>
      <c r="QV47" s="501"/>
      <c r="QW47" s="501"/>
      <c r="QX47" s="501"/>
      <c r="QY47" s="501"/>
      <c r="QZ47" s="501"/>
      <c r="RA47" s="501"/>
      <c r="RB47" s="501"/>
      <c r="RC47" s="501"/>
      <c r="RD47" s="501"/>
      <c r="RE47" s="501"/>
      <c r="RF47" s="501"/>
      <c r="RG47" s="501"/>
      <c r="RH47" s="501"/>
      <c r="RI47" s="501"/>
      <c r="RJ47" s="501"/>
      <c r="RK47" s="501"/>
      <c r="RL47" s="501"/>
      <c r="RM47" s="501"/>
      <c r="RN47" s="501"/>
      <c r="RO47" s="501"/>
      <c r="RP47" s="501"/>
      <c r="RQ47" s="501"/>
      <c r="RR47" s="501"/>
      <c r="RS47" s="501"/>
      <c r="RT47" s="501"/>
      <c r="RU47" s="501"/>
      <c r="RV47" s="501"/>
      <c r="RW47" s="501"/>
      <c r="RX47" s="501"/>
      <c r="RY47" s="501"/>
      <c r="RZ47" s="501"/>
      <c r="SA47" s="501"/>
      <c r="SB47" s="501"/>
      <c r="SC47" s="501"/>
      <c r="SD47" s="501"/>
      <c r="SE47" s="501"/>
      <c r="SF47" s="501"/>
      <c r="SG47" s="501"/>
      <c r="SH47" s="501"/>
      <c r="SI47" s="501"/>
      <c r="SJ47" s="501"/>
      <c r="SK47" s="501"/>
      <c r="SL47" s="501"/>
      <c r="SM47" s="501"/>
      <c r="SN47" s="501"/>
      <c r="SO47" s="501"/>
      <c r="SP47" s="501"/>
      <c r="SQ47" s="501"/>
      <c r="SR47" s="501"/>
      <c r="SS47" s="501"/>
      <c r="ST47" s="501"/>
      <c r="SU47" s="501"/>
      <c r="SV47" s="501"/>
      <c r="SW47" s="501"/>
      <c r="SX47" s="501"/>
      <c r="SY47" s="501"/>
      <c r="SZ47" s="501"/>
      <c r="TA47" s="501"/>
      <c r="TB47" s="501"/>
      <c r="TC47" s="501"/>
      <c r="TD47" s="501"/>
      <c r="TE47" s="501"/>
      <c r="TF47" s="501"/>
      <c r="TG47" s="501"/>
      <c r="TH47" s="501"/>
      <c r="TI47" s="501"/>
      <c r="TJ47" s="501"/>
      <c r="TK47" s="501"/>
      <c r="TL47" s="501"/>
      <c r="TM47" s="501"/>
      <c r="TN47" s="501"/>
      <c r="TO47" s="501"/>
      <c r="TP47" s="501"/>
      <c r="TQ47" s="501"/>
      <c r="TR47" s="501"/>
      <c r="TS47" s="501"/>
      <c r="TT47" s="501"/>
      <c r="TU47" s="501"/>
      <c r="TV47" s="501"/>
      <c r="TW47" s="501"/>
      <c r="TX47" s="501"/>
      <c r="TY47" s="501"/>
      <c r="TZ47" s="501"/>
      <c r="UA47" s="501"/>
      <c r="UB47" s="501"/>
      <c r="UC47" s="501"/>
      <c r="UD47" s="501"/>
      <c r="UE47" s="501"/>
      <c r="UF47" s="501"/>
      <c r="UG47" s="501"/>
      <c r="UH47" s="501"/>
      <c r="UI47" s="501"/>
      <c r="UJ47" s="501"/>
      <c r="UK47" s="501"/>
      <c r="UL47" s="501"/>
      <c r="UM47" s="501"/>
      <c r="UN47" s="501"/>
      <c r="UO47" s="501"/>
      <c r="UP47" s="501"/>
      <c r="UQ47" s="501"/>
      <c r="UR47" s="501"/>
      <c r="US47" s="501"/>
      <c r="UT47" s="501"/>
      <c r="UU47" s="501"/>
      <c r="UV47" s="501"/>
      <c r="UW47" s="501"/>
      <c r="UX47" s="501"/>
      <c r="UY47" s="501"/>
      <c r="UZ47" s="501"/>
      <c r="VA47" s="501"/>
      <c r="VB47" s="501"/>
      <c r="VC47" s="501"/>
      <c r="VD47" s="501"/>
      <c r="VE47" s="501"/>
      <c r="VF47" s="501"/>
      <c r="VG47" s="501"/>
      <c r="VH47" s="501"/>
      <c r="VI47" s="501"/>
      <c r="VJ47" s="501"/>
      <c r="VK47" s="501"/>
      <c r="VL47" s="501"/>
      <c r="VM47" s="501"/>
      <c r="VN47" s="501"/>
      <c r="VO47" s="501"/>
      <c r="VP47" s="501"/>
      <c r="VQ47" s="501"/>
      <c r="VR47" s="501"/>
      <c r="VS47" s="501"/>
      <c r="VT47" s="501"/>
      <c r="VU47" s="501"/>
      <c r="VV47" s="501"/>
      <c r="VW47" s="501"/>
      <c r="VX47" s="501"/>
      <c r="VY47" s="501"/>
      <c r="VZ47" s="501"/>
      <c r="WA47" s="501"/>
      <c r="WB47" s="501"/>
      <c r="WC47" s="501"/>
      <c r="WD47" s="501"/>
      <c r="WE47" s="501"/>
      <c r="WF47" s="501"/>
      <c r="WG47" s="501"/>
      <c r="WH47" s="501"/>
      <c r="WI47" s="501"/>
      <c r="WJ47" s="501"/>
      <c r="WK47" s="501"/>
      <c r="WL47" s="501"/>
      <c r="WM47" s="501"/>
      <c r="WN47" s="501"/>
      <c r="WO47" s="501"/>
      <c r="WP47" s="501"/>
      <c r="WQ47" s="501"/>
      <c r="WR47" s="501"/>
      <c r="WS47" s="501"/>
      <c r="WT47" s="501"/>
      <c r="WU47" s="501"/>
      <c r="WV47" s="501"/>
      <c r="WW47" s="501"/>
      <c r="WX47" s="501"/>
      <c r="WY47" s="501"/>
      <c r="WZ47" s="501"/>
      <c r="XA47" s="501"/>
      <c r="XB47" s="501"/>
      <c r="XC47" s="501"/>
      <c r="XD47" s="501"/>
      <c r="XE47" s="501"/>
      <c r="XF47" s="501"/>
      <c r="XG47" s="501"/>
      <c r="XH47" s="501"/>
      <c r="XI47" s="501"/>
      <c r="XJ47" s="501"/>
      <c r="XK47" s="501"/>
      <c r="XL47" s="501"/>
      <c r="XM47" s="501"/>
      <c r="XN47" s="501"/>
      <c r="XO47" s="501"/>
      <c r="XP47" s="501"/>
      <c r="XQ47" s="501"/>
      <c r="XR47" s="501"/>
      <c r="XS47" s="501"/>
      <c r="XT47" s="501"/>
      <c r="XU47" s="501"/>
      <c r="XV47" s="501"/>
      <c r="XW47" s="501"/>
      <c r="XX47" s="501"/>
      <c r="XY47" s="501"/>
      <c r="XZ47" s="501"/>
      <c r="YA47" s="501"/>
      <c r="YB47" s="501"/>
      <c r="YC47" s="501"/>
      <c r="YD47" s="501"/>
      <c r="YE47" s="501"/>
      <c r="YF47" s="501"/>
      <c r="YG47" s="501"/>
      <c r="YH47" s="501"/>
      <c r="YI47" s="501"/>
      <c r="YJ47" s="501"/>
      <c r="YK47" s="501"/>
      <c r="YL47" s="501"/>
      <c r="YM47" s="501"/>
      <c r="YN47" s="501"/>
      <c r="YO47" s="501"/>
      <c r="YP47" s="501"/>
      <c r="YQ47" s="501"/>
      <c r="YR47" s="501"/>
      <c r="YS47" s="501"/>
      <c r="YT47" s="501"/>
      <c r="YU47" s="501"/>
      <c r="YV47" s="501"/>
      <c r="YW47" s="501"/>
      <c r="YX47" s="501"/>
      <c r="YY47" s="501"/>
      <c r="YZ47" s="501"/>
      <c r="ZA47" s="501"/>
      <c r="ZB47" s="501"/>
      <c r="ZC47" s="501"/>
      <c r="ZD47" s="501"/>
      <c r="ZE47" s="501"/>
      <c r="ZF47" s="501"/>
      <c r="ZG47" s="501"/>
      <c r="ZH47" s="501"/>
      <c r="ZI47" s="501"/>
      <c r="ZJ47" s="501"/>
      <c r="ZK47" s="501"/>
      <c r="ZL47" s="501"/>
      <c r="ZM47" s="501"/>
      <c r="ZN47" s="501"/>
      <c r="ZO47" s="501"/>
      <c r="ZP47" s="501"/>
      <c r="ZQ47" s="501"/>
      <c r="ZR47" s="501"/>
      <c r="ZS47" s="501"/>
      <c r="ZT47" s="501"/>
      <c r="ZU47" s="501"/>
      <c r="ZV47" s="501"/>
      <c r="ZW47" s="501"/>
      <c r="ZX47" s="501"/>
      <c r="ZY47" s="501"/>
      <c r="ZZ47" s="501"/>
      <c r="AAA47" s="501"/>
      <c r="AAB47" s="501"/>
      <c r="AAC47" s="501"/>
      <c r="AAD47" s="501"/>
      <c r="AAE47" s="501"/>
      <c r="AAF47" s="501"/>
      <c r="AAG47" s="501"/>
      <c r="AAH47" s="501"/>
      <c r="AAI47" s="501"/>
      <c r="AAJ47" s="501"/>
      <c r="AAK47" s="501"/>
      <c r="AAL47" s="501"/>
      <c r="AAM47" s="501"/>
      <c r="AAN47" s="501"/>
      <c r="AAO47" s="501"/>
      <c r="AAP47" s="501"/>
      <c r="AAQ47" s="501"/>
      <c r="AAR47" s="501"/>
      <c r="AAS47" s="501"/>
      <c r="AAT47" s="501"/>
      <c r="AAU47" s="501"/>
      <c r="AAV47" s="501"/>
      <c r="AAW47" s="501"/>
      <c r="AAX47" s="501"/>
      <c r="AAY47" s="501"/>
      <c r="AAZ47" s="501"/>
      <c r="ABA47" s="501"/>
      <c r="ABB47" s="501"/>
      <c r="ABC47" s="501"/>
      <c r="ABD47" s="501"/>
      <c r="ABE47" s="501"/>
      <c r="ABF47" s="501"/>
      <c r="ABG47" s="501"/>
      <c r="ABH47" s="501"/>
      <c r="ABI47" s="501"/>
      <c r="ABJ47" s="501"/>
      <c r="ABK47" s="501"/>
      <c r="ABL47" s="501"/>
      <c r="ABM47" s="501"/>
      <c r="ABN47" s="501"/>
      <c r="ABO47" s="501"/>
      <c r="ABP47" s="501"/>
      <c r="ABQ47" s="501"/>
      <c r="ABR47" s="501"/>
      <c r="ABS47" s="501"/>
      <c r="ABT47" s="501"/>
      <c r="ABU47" s="501"/>
      <c r="ABV47" s="501"/>
      <c r="ABW47" s="501"/>
      <c r="ABX47" s="501"/>
      <c r="ABY47" s="501"/>
      <c r="ABZ47" s="501"/>
      <c r="ACA47" s="501"/>
      <c r="ACB47" s="501"/>
      <c r="ACC47" s="501"/>
      <c r="ACD47" s="501"/>
      <c r="ACE47" s="501"/>
      <c r="ACF47" s="501"/>
      <c r="ACG47" s="501"/>
      <c r="ACH47" s="501"/>
      <c r="ACI47" s="501"/>
      <c r="ACJ47" s="501"/>
      <c r="ACK47" s="501"/>
      <c r="ACL47" s="501"/>
      <c r="ACM47" s="501"/>
      <c r="ACN47" s="501"/>
      <c r="ACO47" s="501"/>
      <c r="ACP47" s="501"/>
      <c r="ACQ47" s="501"/>
      <c r="ACR47" s="501"/>
      <c r="ACS47" s="501"/>
      <c r="ACT47" s="501"/>
      <c r="ACU47" s="501"/>
      <c r="ACV47" s="501"/>
      <c r="ACW47" s="501"/>
      <c r="ACX47" s="501"/>
      <c r="ACY47" s="501"/>
      <c r="ACZ47" s="501"/>
      <c r="ADA47" s="501"/>
      <c r="ADB47" s="501"/>
      <c r="ADC47" s="501"/>
      <c r="ADD47" s="501"/>
      <c r="ADE47" s="501"/>
      <c r="ADF47" s="501"/>
      <c r="ADG47" s="501"/>
      <c r="ADH47" s="501"/>
      <c r="ADI47" s="501"/>
      <c r="ADJ47" s="501"/>
      <c r="ADK47" s="501"/>
      <c r="ADL47" s="501"/>
      <c r="ADM47" s="501"/>
      <c r="ADN47" s="501"/>
      <c r="ADO47" s="501"/>
      <c r="ADP47" s="501"/>
      <c r="ADQ47" s="501"/>
      <c r="ADR47" s="501"/>
      <c r="ADS47" s="501"/>
      <c r="ADT47" s="501"/>
      <c r="ADU47" s="501"/>
      <c r="ADV47" s="501"/>
      <c r="ADW47" s="501"/>
      <c r="ADX47" s="501"/>
      <c r="ADY47" s="501"/>
      <c r="ADZ47" s="501"/>
      <c r="AEA47" s="501"/>
      <c r="AEB47" s="501"/>
      <c r="AEC47" s="501"/>
      <c r="AED47" s="501"/>
      <c r="AEE47" s="501"/>
      <c r="AEF47" s="501"/>
      <c r="AEG47" s="501"/>
      <c r="AEH47" s="501"/>
      <c r="AEI47" s="501"/>
      <c r="AEJ47" s="501"/>
      <c r="AEK47" s="501"/>
      <c r="AEL47" s="501"/>
      <c r="AEM47" s="501"/>
      <c r="AEN47" s="501"/>
      <c r="AEO47" s="501"/>
      <c r="AEP47" s="501"/>
      <c r="AEQ47" s="501"/>
      <c r="AER47" s="501"/>
      <c r="AES47" s="501"/>
      <c r="AET47" s="501"/>
      <c r="AEU47" s="501"/>
      <c r="AEV47" s="501"/>
      <c r="AEW47" s="501"/>
      <c r="AEX47" s="501"/>
      <c r="AEY47" s="501"/>
      <c r="AEZ47" s="501"/>
      <c r="AFA47" s="501"/>
      <c r="AFB47" s="501"/>
      <c r="AFC47" s="501"/>
      <c r="AFD47" s="501"/>
      <c r="AFE47" s="501"/>
      <c r="AFF47" s="501"/>
      <c r="AFG47" s="501"/>
      <c r="AFH47" s="501"/>
      <c r="AFI47" s="501"/>
      <c r="AFJ47" s="501"/>
      <c r="AFK47" s="501"/>
      <c r="AFL47" s="501"/>
      <c r="AFM47" s="501"/>
      <c r="AFN47" s="501"/>
      <c r="AFO47" s="501"/>
      <c r="AFP47" s="501"/>
      <c r="AFQ47" s="501"/>
      <c r="AFR47" s="501"/>
      <c r="AFS47" s="501"/>
      <c r="AFT47" s="501"/>
      <c r="AFU47" s="501"/>
      <c r="AFV47" s="501"/>
      <c r="AFW47" s="501"/>
      <c r="AFX47" s="501"/>
      <c r="AFY47" s="501"/>
      <c r="AFZ47" s="501"/>
      <c r="AGA47" s="501"/>
      <c r="AGB47" s="501"/>
      <c r="AGC47" s="501"/>
      <c r="AGD47" s="501"/>
      <c r="AGE47" s="501"/>
      <c r="AGF47" s="501"/>
      <c r="AGG47" s="501"/>
      <c r="AGH47" s="501"/>
      <c r="AGI47" s="501"/>
      <c r="AGJ47" s="501"/>
      <c r="AGK47" s="501"/>
      <c r="AGL47" s="501"/>
      <c r="AGM47" s="501"/>
      <c r="AGN47" s="501"/>
      <c r="AGO47" s="501"/>
      <c r="AGP47" s="501"/>
      <c r="AGQ47" s="501"/>
      <c r="AGR47" s="501"/>
      <c r="AGS47" s="501"/>
      <c r="AGT47" s="501"/>
      <c r="AGU47" s="501"/>
      <c r="AGV47" s="501"/>
      <c r="AGW47" s="501"/>
      <c r="AGX47" s="501"/>
      <c r="AGY47" s="501"/>
      <c r="AGZ47" s="501"/>
      <c r="AHA47" s="501"/>
      <c r="AHB47" s="501"/>
      <c r="AHC47" s="501"/>
      <c r="AHD47" s="501"/>
      <c r="AHE47" s="501"/>
      <c r="AHF47" s="501"/>
      <c r="AHG47" s="501"/>
      <c r="AHH47" s="501"/>
      <c r="AHI47" s="501"/>
      <c r="AHJ47" s="501"/>
      <c r="AHK47" s="501"/>
      <c r="AHL47" s="501"/>
      <c r="AHM47" s="501"/>
      <c r="AHN47" s="501"/>
      <c r="AHO47" s="501"/>
      <c r="AHP47" s="501"/>
      <c r="AHQ47" s="501"/>
      <c r="AHR47" s="501"/>
      <c r="AHS47" s="501"/>
      <c r="AHT47" s="501"/>
      <c r="AHU47" s="501"/>
      <c r="AHV47" s="501"/>
      <c r="AHW47" s="501"/>
      <c r="AHX47" s="501"/>
      <c r="AHY47" s="501"/>
      <c r="AHZ47" s="501"/>
      <c r="AIA47" s="501"/>
      <c r="AIB47" s="501"/>
      <c r="AIC47" s="501"/>
      <c r="AID47" s="501"/>
      <c r="AIE47" s="501"/>
      <c r="AIF47" s="501"/>
      <c r="AIG47" s="501"/>
      <c r="AIH47" s="501"/>
      <c r="AII47" s="501"/>
      <c r="AIJ47" s="501"/>
      <c r="AIK47" s="501"/>
      <c r="AIL47" s="501"/>
      <c r="AIM47" s="501"/>
      <c r="AIN47" s="501"/>
      <c r="AIO47" s="501"/>
      <c r="AIP47" s="501"/>
      <c r="AIQ47" s="501"/>
      <c r="AIR47" s="501"/>
      <c r="AIS47" s="501"/>
      <c r="AIT47" s="501"/>
      <c r="AIU47" s="501"/>
      <c r="AIV47" s="501"/>
      <c r="AIW47" s="501"/>
      <c r="AIX47" s="501"/>
      <c r="AIY47" s="501"/>
      <c r="AIZ47" s="501"/>
      <c r="AJA47" s="501"/>
      <c r="AJB47" s="501"/>
      <c r="AJC47" s="501"/>
      <c r="AJD47" s="501"/>
      <c r="AJE47" s="501"/>
      <c r="AJF47" s="501"/>
      <c r="AJG47" s="501"/>
      <c r="AJH47" s="501"/>
      <c r="AJI47" s="501"/>
      <c r="AJJ47" s="501"/>
      <c r="AJK47" s="501"/>
      <c r="AJL47" s="501"/>
      <c r="AJM47" s="501"/>
      <c r="AJN47" s="501"/>
      <c r="AJO47" s="501"/>
      <c r="AJP47" s="501"/>
      <c r="AJQ47" s="501"/>
      <c r="AJR47" s="501"/>
      <c r="AJS47" s="501"/>
      <c r="AJT47" s="501"/>
      <c r="AJU47" s="501"/>
      <c r="AJV47" s="501"/>
      <c r="AJW47" s="501"/>
      <c r="AJX47" s="501"/>
      <c r="AJY47" s="501"/>
      <c r="AJZ47" s="501"/>
      <c r="AKA47" s="501"/>
      <c r="AKB47" s="501"/>
      <c r="AKC47" s="501"/>
      <c r="AKD47" s="501"/>
      <c r="AKE47" s="501"/>
      <c r="AKF47" s="501"/>
      <c r="AKG47" s="501"/>
      <c r="AKH47" s="501"/>
      <c r="AKI47" s="501"/>
      <c r="AKJ47" s="501"/>
      <c r="AKK47" s="501"/>
      <c r="AKL47" s="501"/>
      <c r="AKM47" s="501"/>
      <c r="AKN47" s="501"/>
      <c r="AKO47" s="501"/>
      <c r="AKP47" s="501"/>
      <c r="AKQ47" s="501"/>
      <c r="AKR47" s="501"/>
      <c r="AKS47" s="501"/>
      <c r="AKT47" s="501"/>
      <c r="AKU47" s="501"/>
      <c r="AKV47" s="501"/>
      <c r="AKW47" s="501"/>
      <c r="AKX47" s="501"/>
      <c r="AKY47" s="501"/>
      <c r="AKZ47" s="501"/>
      <c r="ALA47" s="501"/>
      <c r="ALB47" s="501"/>
      <c r="ALC47" s="501"/>
      <c r="ALD47" s="501"/>
      <c r="ALE47" s="501"/>
      <c r="ALF47" s="501"/>
      <c r="ALG47" s="501"/>
      <c r="ALH47" s="501"/>
      <c r="ALI47" s="501"/>
      <c r="ALJ47" s="501"/>
      <c r="ALK47" s="501"/>
      <c r="ALL47" s="501"/>
      <c r="ALM47" s="501"/>
      <c r="ALN47" s="501"/>
      <c r="ALO47" s="501"/>
      <c r="ALP47" s="501"/>
      <c r="ALQ47" s="501"/>
      <c r="ALR47" s="501"/>
      <c r="ALS47" s="501"/>
      <c r="ALT47" s="501"/>
      <c r="ALU47" s="501"/>
      <c r="ALV47" s="501"/>
      <c r="ALW47" s="501"/>
      <c r="ALX47" s="501"/>
      <c r="ALY47" s="501"/>
      <c r="ALZ47" s="501"/>
      <c r="AMA47" s="501"/>
      <c r="AMB47" s="501"/>
      <c r="AMC47" s="501"/>
      <c r="AMD47" s="501"/>
      <c r="AME47" s="501"/>
      <c r="AMF47" s="501"/>
      <c r="AMG47" s="501"/>
      <c r="AMH47" s="501"/>
      <c r="AMI47" s="501"/>
      <c r="AMJ47" s="501"/>
      <c r="AMK47" s="501"/>
      <c r="AML47" s="501"/>
      <c r="AMM47" s="501"/>
      <c r="AMN47" s="501"/>
      <c r="AMO47" s="501"/>
      <c r="AMP47" s="501"/>
      <c r="AMQ47" s="501"/>
      <c r="AMR47" s="501"/>
      <c r="AMS47" s="501"/>
      <c r="AMT47" s="501"/>
      <c r="AMU47" s="501"/>
      <c r="AMV47" s="501"/>
      <c r="AMW47" s="501"/>
      <c r="AMX47" s="501"/>
      <c r="AMY47" s="501"/>
      <c r="AMZ47" s="501"/>
      <c r="ANA47" s="501"/>
      <c r="ANB47" s="501"/>
      <c r="ANC47" s="501"/>
      <c r="AND47" s="501"/>
      <c r="ANE47" s="501"/>
      <c r="ANF47" s="501"/>
      <c r="ANG47" s="501"/>
      <c r="ANH47" s="501"/>
      <c r="ANI47" s="501"/>
      <c r="ANJ47" s="501"/>
      <c r="ANK47" s="501"/>
      <c r="ANL47" s="501"/>
      <c r="ANM47" s="501"/>
      <c r="ANN47" s="501"/>
      <c r="ANO47" s="501"/>
      <c r="ANP47" s="501"/>
      <c r="ANQ47" s="501"/>
      <c r="ANR47" s="501"/>
      <c r="ANS47" s="501"/>
      <c r="ANT47" s="501"/>
      <c r="ANU47" s="501"/>
      <c r="ANV47" s="501"/>
      <c r="ANW47" s="501"/>
      <c r="ANX47" s="501"/>
      <c r="ANY47" s="501"/>
      <c r="ANZ47" s="501"/>
      <c r="AOA47" s="501"/>
      <c r="AOB47" s="501"/>
      <c r="AOC47" s="501"/>
      <c r="AOD47" s="501"/>
      <c r="AOE47" s="501"/>
      <c r="AOF47" s="501"/>
      <c r="AOG47" s="501"/>
      <c r="AOH47" s="501"/>
      <c r="AOI47" s="501"/>
      <c r="AOJ47" s="501"/>
      <c r="AOK47" s="501"/>
      <c r="AOL47" s="501"/>
      <c r="AOM47" s="501"/>
      <c r="AON47" s="501"/>
      <c r="AOO47" s="501"/>
      <c r="AOP47" s="501"/>
      <c r="AOQ47" s="501"/>
      <c r="AOR47" s="501"/>
      <c r="AOS47" s="501"/>
      <c r="AOT47" s="501"/>
      <c r="AOU47" s="501"/>
      <c r="AOV47" s="501"/>
      <c r="AOW47" s="501"/>
      <c r="AOX47" s="501"/>
      <c r="AOY47" s="501"/>
      <c r="AOZ47" s="501"/>
      <c r="APA47" s="501"/>
      <c r="APB47" s="501"/>
      <c r="APC47" s="501"/>
      <c r="APD47" s="501"/>
      <c r="APE47" s="501"/>
      <c r="APF47" s="501"/>
      <c r="APG47" s="501"/>
      <c r="APH47" s="501"/>
      <c r="API47" s="501"/>
      <c r="APJ47" s="501"/>
      <c r="APK47" s="501"/>
      <c r="APL47" s="501"/>
      <c r="APM47" s="501"/>
      <c r="APN47" s="501"/>
      <c r="APO47" s="501"/>
      <c r="APP47" s="501"/>
      <c r="APQ47" s="501"/>
      <c r="APR47" s="501"/>
      <c r="APS47" s="501"/>
      <c r="APT47" s="501"/>
      <c r="APU47" s="501"/>
      <c r="APV47" s="501"/>
      <c r="APW47" s="501"/>
      <c r="APX47" s="501"/>
      <c r="APY47" s="501"/>
      <c r="APZ47" s="501"/>
      <c r="AQA47" s="501"/>
      <c r="AQB47" s="501"/>
      <c r="AQC47" s="501"/>
      <c r="AQD47" s="501"/>
      <c r="AQE47" s="501"/>
      <c r="AQF47" s="501"/>
      <c r="AQG47" s="501"/>
      <c r="AQH47" s="501"/>
      <c r="AQI47" s="501"/>
      <c r="AQJ47" s="501"/>
      <c r="AQK47" s="501"/>
      <c r="AQL47" s="501"/>
      <c r="AQM47" s="501"/>
      <c r="AQN47" s="501"/>
      <c r="AQO47" s="501"/>
      <c r="AQP47" s="501"/>
      <c r="AQQ47" s="501"/>
      <c r="AQR47" s="501"/>
      <c r="AQS47" s="501"/>
      <c r="AQT47" s="501"/>
      <c r="AQU47" s="501"/>
      <c r="AQV47" s="501"/>
      <c r="AQW47" s="501"/>
      <c r="AQX47" s="501"/>
      <c r="AQY47" s="501"/>
      <c r="AQZ47" s="501"/>
      <c r="ARA47" s="501"/>
      <c r="ARB47" s="501"/>
      <c r="ARC47" s="501"/>
      <c r="ARD47" s="501"/>
      <c r="ARE47" s="501"/>
      <c r="ARF47" s="501"/>
      <c r="ARG47" s="501"/>
      <c r="ARH47" s="501"/>
      <c r="ARI47" s="501"/>
      <c r="ARJ47" s="501"/>
      <c r="ARK47" s="501"/>
      <c r="ARL47" s="501"/>
      <c r="ARM47" s="501"/>
      <c r="ARN47" s="501"/>
      <c r="ARO47" s="501"/>
      <c r="ARP47" s="501"/>
      <c r="ARQ47" s="501"/>
      <c r="ARR47" s="501"/>
      <c r="ARS47" s="501"/>
      <c r="ART47" s="501"/>
      <c r="ARU47" s="501"/>
      <c r="ARV47" s="501"/>
      <c r="ARW47" s="501"/>
      <c r="ARX47" s="501"/>
      <c r="ARY47" s="501"/>
      <c r="ARZ47" s="501"/>
      <c r="ASA47" s="501"/>
      <c r="ASB47" s="501"/>
      <c r="ASC47" s="501"/>
      <c r="ASD47" s="501"/>
      <c r="ASE47" s="501"/>
      <c r="ASF47" s="501"/>
      <c r="ASG47" s="501"/>
      <c r="ASH47" s="501"/>
      <c r="ASI47" s="501"/>
      <c r="ASJ47" s="501"/>
      <c r="ASK47" s="501"/>
      <c r="ASL47" s="501"/>
      <c r="ASM47" s="501"/>
      <c r="ASN47" s="501"/>
      <c r="ASO47" s="501"/>
      <c r="ASP47" s="501"/>
      <c r="ASQ47" s="501"/>
      <c r="ASR47" s="501"/>
      <c r="ASS47" s="501"/>
      <c r="AST47" s="501"/>
      <c r="ASU47" s="501"/>
      <c r="ASV47" s="501"/>
      <c r="ASW47" s="501"/>
      <c r="ASX47" s="501"/>
      <c r="ASY47" s="501"/>
      <c r="ASZ47" s="501"/>
      <c r="ATA47" s="501"/>
      <c r="ATB47" s="501"/>
      <c r="ATC47" s="501"/>
      <c r="ATD47" s="501"/>
      <c r="ATE47" s="501"/>
      <c r="ATF47" s="501"/>
      <c r="ATG47" s="501"/>
      <c r="ATH47" s="501"/>
      <c r="ATI47" s="501"/>
      <c r="ATJ47" s="501"/>
      <c r="ATK47" s="501"/>
      <c r="ATL47" s="501"/>
      <c r="ATM47" s="501"/>
      <c r="ATN47" s="501"/>
      <c r="ATO47" s="501"/>
      <c r="ATP47" s="501"/>
      <c r="ATQ47" s="501"/>
      <c r="ATR47" s="501"/>
      <c r="ATS47" s="501"/>
      <c r="ATT47" s="501"/>
      <c r="ATU47" s="501"/>
      <c r="ATV47" s="501"/>
      <c r="ATW47" s="501"/>
      <c r="ATX47" s="501"/>
      <c r="ATY47" s="501"/>
      <c r="ATZ47" s="501"/>
      <c r="AUA47" s="501"/>
      <c r="AUB47" s="501"/>
      <c r="AUC47" s="501"/>
      <c r="AUD47" s="501"/>
      <c r="AUE47" s="501"/>
      <c r="AUF47" s="501"/>
      <c r="AUG47" s="501"/>
      <c r="AUH47" s="501"/>
      <c r="AUI47" s="501"/>
      <c r="AUJ47" s="501"/>
      <c r="AUK47" s="501"/>
      <c r="AUL47" s="501"/>
      <c r="AUM47" s="501"/>
      <c r="AUN47" s="501"/>
      <c r="AUO47" s="501"/>
      <c r="AUP47" s="501"/>
      <c r="AUQ47" s="501"/>
      <c r="AUR47" s="501"/>
      <c r="AUS47" s="501"/>
      <c r="AUT47" s="501"/>
      <c r="AUU47" s="501"/>
      <c r="AUV47" s="501"/>
      <c r="AUW47" s="501"/>
      <c r="AUX47" s="501"/>
      <c r="AUY47" s="501"/>
      <c r="AUZ47" s="501"/>
      <c r="AVA47" s="501"/>
      <c r="AVB47" s="501"/>
      <c r="AVC47" s="501"/>
      <c r="AVD47" s="501"/>
      <c r="AVE47" s="501"/>
      <c r="AVF47" s="501"/>
      <c r="AVG47" s="501"/>
      <c r="AVH47" s="501"/>
      <c r="AVI47" s="501"/>
      <c r="AVJ47" s="501"/>
      <c r="AVK47" s="501"/>
      <c r="AVL47" s="501"/>
      <c r="AVM47" s="501"/>
      <c r="AVN47" s="501"/>
      <c r="AVO47" s="501"/>
      <c r="AVP47" s="501"/>
      <c r="AVQ47" s="501"/>
      <c r="AVR47" s="501"/>
      <c r="AVS47" s="501"/>
      <c r="AVT47" s="501"/>
      <c r="AVU47" s="501"/>
      <c r="AVV47" s="501"/>
      <c r="AVW47" s="501"/>
      <c r="AVX47" s="501"/>
      <c r="AVY47" s="501"/>
      <c r="AVZ47" s="501"/>
      <c r="AWA47" s="501"/>
      <c r="AWB47" s="501"/>
      <c r="AWC47" s="501"/>
      <c r="AWD47" s="501"/>
      <c r="AWE47" s="501"/>
      <c r="AWF47" s="501"/>
      <c r="AWG47" s="501"/>
      <c r="AWH47" s="501"/>
      <c r="AWI47" s="501"/>
      <c r="AWJ47" s="501"/>
      <c r="AWK47" s="501"/>
      <c r="AWL47" s="501"/>
      <c r="AWM47" s="501"/>
      <c r="AWN47" s="501"/>
      <c r="AWO47" s="501"/>
      <c r="AWP47" s="501"/>
      <c r="AWQ47" s="501"/>
      <c r="AWR47" s="501"/>
      <c r="AWS47" s="501"/>
      <c r="AWT47" s="501"/>
      <c r="AWU47" s="501"/>
      <c r="AWV47" s="501"/>
      <c r="AWW47" s="501"/>
      <c r="AWX47" s="501"/>
      <c r="AWY47" s="501"/>
      <c r="AWZ47" s="501"/>
      <c r="AXA47" s="501"/>
      <c r="AXB47" s="501"/>
      <c r="AXC47" s="501"/>
      <c r="AXD47" s="501"/>
      <c r="AXE47" s="501"/>
      <c r="AXF47" s="501"/>
      <c r="AXG47" s="501"/>
      <c r="AXH47" s="501"/>
      <c r="AXI47" s="501"/>
      <c r="AXJ47" s="501"/>
      <c r="AXK47" s="501"/>
      <c r="AXL47" s="501"/>
      <c r="AXM47" s="501"/>
      <c r="AXN47" s="501"/>
      <c r="AXO47" s="501"/>
      <c r="AXP47" s="501"/>
      <c r="AXQ47" s="501"/>
      <c r="AXR47" s="501"/>
      <c r="AXS47" s="501"/>
      <c r="AXT47" s="501"/>
      <c r="AXU47" s="501"/>
      <c r="AXV47" s="501"/>
      <c r="AXW47" s="501"/>
      <c r="AXX47" s="501"/>
      <c r="AXY47" s="501"/>
      <c r="AXZ47" s="501"/>
      <c r="AYA47" s="501"/>
      <c r="AYB47" s="501"/>
      <c r="AYC47" s="501"/>
      <c r="AYD47" s="501"/>
      <c r="AYE47" s="501"/>
      <c r="AYF47" s="501"/>
      <c r="AYG47" s="501"/>
      <c r="AYH47" s="501"/>
      <c r="AYI47" s="501"/>
      <c r="AYJ47" s="501"/>
      <c r="AYK47" s="501"/>
      <c r="AYL47" s="501"/>
      <c r="AYM47" s="501"/>
      <c r="AYN47" s="501"/>
      <c r="AYO47" s="501"/>
      <c r="AYP47" s="501"/>
      <c r="AYQ47" s="501"/>
      <c r="AYR47" s="501"/>
      <c r="AYS47" s="501"/>
      <c r="AYT47" s="501"/>
      <c r="AYU47" s="501"/>
      <c r="AYV47" s="501"/>
      <c r="AYW47" s="501"/>
      <c r="AYX47" s="501"/>
      <c r="AYY47" s="501"/>
      <c r="AYZ47" s="501"/>
      <c r="AZA47" s="501"/>
      <c r="AZB47" s="501"/>
      <c r="AZC47" s="501"/>
      <c r="AZD47" s="501"/>
      <c r="AZE47" s="501"/>
      <c r="AZF47" s="501"/>
      <c r="AZG47" s="501"/>
      <c r="AZH47" s="501"/>
      <c r="AZI47" s="501"/>
      <c r="AZJ47" s="501"/>
      <c r="AZK47" s="501"/>
      <c r="AZL47" s="501"/>
      <c r="AZM47" s="501"/>
      <c r="AZN47" s="501"/>
      <c r="AZO47" s="501"/>
      <c r="AZP47" s="501"/>
      <c r="AZQ47" s="501"/>
      <c r="AZR47" s="501"/>
      <c r="AZS47" s="501"/>
      <c r="AZT47" s="501"/>
      <c r="AZU47" s="501"/>
      <c r="AZV47" s="501"/>
      <c r="AZW47" s="501"/>
      <c r="AZX47" s="501"/>
      <c r="AZY47" s="501"/>
      <c r="AZZ47" s="501"/>
      <c r="BAA47" s="501"/>
      <c r="BAB47" s="501"/>
      <c r="BAC47" s="501"/>
      <c r="BAD47" s="501"/>
      <c r="BAE47" s="501"/>
      <c r="BAF47" s="501"/>
      <c r="BAG47" s="501"/>
      <c r="BAH47" s="501"/>
      <c r="BAI47" s="501"/>
      <c r="BAJ47" s="501"/>
      <c r="BAK47" s="501"/>
      <c r="BAL47" s="501"/>
      <c r="BAM47" s="501"/>
      <c r="BAN47" s="501"/>
      <c r="BAO47" s="501"/>
      <c r="BAP47" s="501"/>
      <c r="BAQ47" s="501"/>
      <c r="BAR47" s="501"/>
      <c r="BAS47" s="501"/>
      <c r="BAT47" s="501"/>
      <c r="BAU47" s="501"/>
      <c r="BAV47" s="501"/>
      <c r="BAW47" s="501"/>
      <c r="BAX47" s="501"/>
      <c r="BAY47" s="501"/>
      <c r="BAZ47" s="501"/>
      <c r="BBA47" s="501"/>
      <c r="BBB47" s="501"/>
      <c r="BBC47" s="501"/>
      <c r="BBD47" s="501"/>
      <c r="BBE47" s="501"/>
      <c r="BBF47" s="501"/>
      <c r="BBG47" s="501"/>
      <c r="BBH47" s="501"/>
      <c r="BBI47" s="501"/>
      <c r="BBJ47" s="501"/>
      <c r="BBK47" s="501"/>
      <c r="BBL47" s="501"/>
      <c r="BBM47" s="501"/>
      <c r="BBN47" s="501"/>
      <c r="BBO47" s="501"/>
      <c r="BBP47" s="501"/>
      <c r="BBQ47" s="501"/>
      <c r="BBR47" s="501"/>
      <c r="BBS47" s="501"/>
      <c r="BBT47" s="501"/>
      <c r="BBU47" s="501"/>
      <c r="BBV47" s="501"/>
      <c r="BBW47" s="501"/>
      <c r="BBX47" s="501"/>
      <c r="BBY47" s="501"/>
      <c r="BBZ47" s="501"/>
      <c r="BCA47" s="501"/>
      <c r="BCB47" s="501"/>
      <c r="BCC47" s="501"/>
      <c r="BCD47" s="501"/>
      <c r="BCE47" s="501"/>
      <c r="BCF47" s="501"/>
      <c r="BCG47" s="501"/>
      <c r="BCH47" s="501"/>
      <c r="BCI47" s="501"/>
      <c r="BCJ47" s="501"/>
      <c r="BCK47" s="501"/>
      <c r="BCL47" s="501"/>
      <c r="BCM47" s="501"/>
      <c r="BCN47" s="501"/>
      <c r="BCO47" s="501"/>
      <c r="BCP47" s="501"/>
      <c r="BCQ47" s="501"/>
      <c r="BCR47" s="501"/>
      <c r="BCS47" s="501"/>
      <c r="BCT47" s="501"/>
      <c r="BCU47" s="501"/>
      <c r="BCV47" s="501"/>
      <c r="BCW47" s="501"/>
      <c r="BCX47" s="501"/>
      <c r="BCY47" s="501"/>
      <c r="BCZ47" s="501"/>
      <c r="BDA47" s="501"/>
      <c r="BDB47" s="501"/>
      <c r="BDC47" s="501"/>
      <c r="BDD47" s="501"/>
      <c r="BDE47" s="501"/>
      <c r="BDF47" s="501"/>
      <c r="BDG47" s="501"/>
      <c r="BDH47" s="501"/>
      <c r="BDI47" s="501"/>
      <c r="BDJ47" s="501"/>
      <c r="BDK47" s="501"/>
      <c r="BDL47" s="501"/>
      <c r="BDM47" s="501"/>
      <c r="BDN47" s="501"/>
      <c r="BDO47" s="501"/>
      <c r="BDP47" s="501"/>
      <c r="BDQ47" s="501"/>
      <c r="BDR47" s="501"/>
      <c r="BDS47" s="501"/>
      <c r="BDT47" s="501"/>
      <c r="BDU47" s="501"/>
      <c r="BDV47" s="501"/>
      <c r="BDW47" s="501"/>
      <c r="BDX47" s="501"/>
      <c r="BDY47" s="501"/>
      <c r="BDZ47" s="501"/>
      <c r="BEA47" s="501"/>
      <c r="BEB47" s="501"/>
      <c r="BEC47" s="501"/>
      <c r="BED47" s="501"/>
      <c r="BEE47" s="501"/>
      <c r="BEF47" s="501"/>
      <c r="BEG47" s="501"/>
      <c r="BEH47" s="501"/>
      <c r="BEI47" s="501"/>
      <c r="BEJ47" s="501"/>
      <c r="BEK47" s="501"/>
      <c r="BEL47" s="501"/>
      <c r="BEM47" s="501"/>
      <c r="BEN47" s="501"/>
      <c r="BEO47" s="501"/>
      <c r="BEP47" s="501"/>
      <c r="BEQ47" s="501"/>
      <c r="BER47" s="501"/>
      <c r="BES47" s="501"/>
      <c r="BET47" s="501"/>
      <c r="BEU47" s="501"/>
      <c r="BEV47" s="501"/>
      <c r="BEW47" s="501"/>
      <c r="BEX47" s="501"/>
      <c r="BEY47" s="501"/>
      <c r="BEZ47" s="501"/>
      <c r="BFA47" s="501"/>
      <c r="BFB47" s="501"/>
      <c r="BFC47" s="501"/>
      <c r="BFD47" s="501"/>
      <c r="BFE47" s="501"/>
      <c r="BFF47" s="501"/>
      <c r="BFG47" s="501"/>
      <c r="BFH47" s="501"/>
      <c r="BFI47" s="501"/>
      <c r="BFJ47" s="501"/>
      <c r="BFK47" s="501"/>
      <c r="BFL47" s="501"/>
      <c r="BFM47" s="501"/>
      <c r="BFN47" s="501"/>
      <c r="BFO47" s="501"/>
      <c r="BFP47" s="501"/>
      <c r="BFQ47" s="501"/>
      <c r="BFR47" s="501"/>
      <c r="BFS47" s="501"/>
      <c r="BFT47" s="501"/>
      <c r="BFU47" s="501"/>
      <c r="BFV47" s="501"/>
      <c r="BFW47" s="501"/>
      <c r="BFX47" s="501"/>
      <c r="BFY47" s="501"/>
      <c r="BFZ47" s="501"/>
      <c r="BGA47" s="501"/>
      <c r="BGB47" s="501"/>
      <c r="BGC47" s="501"/>
      <c r="BGD47" s="501"/>
      <c r="BGE47" s="501"/>
      <c r="BGF47" s="501"/>
      <c r="BGG47" s="501"/>
      <c r="BGH47" s="501"/>
      <c r="BGI47" s="501"/>
      <c r="BGJ47" s="501"/>
      <c r="BGK47" s="501"/>
      <c r="BGL47" s="501"/>
      <c r="BGM47" s="501"/>
      <c r="BGN47" s="501"/>
      <c r="BGO47" s="501"/>
      <c r="BGP47" s="501"/>
      <c r="BGQ47" s="501"/>
      <c r="BGR47" s="501"/>
      <c r="BGS47" s="501"/>
      <c r="BGT47" s="501"/>
      <c r="BGU47" s="501"/>
      <c r="BGV47" s="501"/>
      <c r="BGW47" s="501"/>
      <c r="BGX47" s="501"/>
      <c r="BGY47" s="501"/>
      <c r="BGZ47" s="501"/>
      <c r="BHA47" s="501"/>
      <c r="BHB47" s="501"/>
      <c r="BHC47" s="501"/>
      <c r="BHD47" s="501"/>
      <c r="BHE47" s="501"/>
      <c r="BHF47" s="501"/>
      <c r="BHG47" s="501"/>
      <c r="BHH47" s="501"/>
      <c r="BHI47" s="501"/>
      <c r="BHJ47" s="501"/>
      <c r="BHK47" s="501"/>
      <c r="BHL47" s="501"/>
      <c r="BHM47" s="501"/>
      <c r="BHN47" s="501"/>
      <c r="BHO47" s="501"/>
      <c r="BHP47" s="501"/>
      <c r="BHQ47" s="501"/>
      <c r="BHR47" s="501"/>
      <c r="BHS47" s="501"/>
      <c r="BHT47" s="501"/>
      <c r="BHU47" s="501"/>
      <c r="BHV47" s="501"/>
      <c r="BHW47" s="501"/>
      <c r="BHX47" s="501"/>
      <c r="BHY47" s="501"/>
      <c r="BHZ47" s="501"/>
      <c r="BIA47" s="501"/>
      <c r="BIB47" s="501"/>
      <c r="BIC47" s="501"/>
      <c r="BID47" s="501"/>
      <c r="BIE47" s="501"/>
      <c r="BIF47" s="501"/>
      <c r="BIG47" s="501"/>
      <c r="BIH47" s="501"/>
      <c r="BII47" s="501"/>
      <c r="BIJ47" s="501"/>
      <c r="BIK47" s="501"/>
      <c r="BIL47" s="501"/>
      <c r="BIM47" s="501"/>
      <c r="BIN47" s="501"/>
      <c r="BIO47" s="501"/>
      <c r="BIP47" s="501"/>
      <c r="BIQ47" s="501"/>
      <c r="BIR47" s="501"/>
      <c r="BIS47" s="501"/>
      <c r="BIT47" s="501"/>
      <c r="BIU47" s="501"/>
      <c r="BIV47" s="501"/>
      <c r="BIW47" s="501"/>
      <c r="BIX47" s="501"/>
      <c r="BIY47" s="501"/>
      <c r="BIZ47" s="501"/>
      <c r="BJA47" s="501"/>
      <c r="BJB47" s="501"/>
      <c r="BJC47" s="501"/>
      <c r="BJD47" s="501"/>
      <c r="BJE47" s="501"/>
      <c r="BJF47" s="501"/>
      <c r="BJG47" s="501"/>
      <c r="BJH47" s="501"/>
      <c r="BJI47" s="501"/>
      <c r="BJJ47" s="501"/>
      <c r="BJK47" s="501"/>
      <c r="BJL47" s="501"/>
      <c r="BJM47" s="501"/>
      <c r="BJN47" s="501"/>
      <c r="BJO47" s="501"/>
      <c r="BJP47" s="501"/>
      <c r="BJQ47" s="501"/>
      <c r="BJR47" s="501"/>
      <c r="BJS47" s="501"/>
      <c r="BJT47" s="501"/>
      <c r="BJU47" s="501"/>
      <c r="BJV47" s="501"/>
      <c r="BJW47" s="501"/>
      <c r="BJX47" s="501"/>
      <c r="BJY47" s="501"/>
      <c r="BJZ47" s="501"/>
      <c r="BKA47" s="501"/>
      <c r="BKB47" s="501"/>
      <c r="BKC47" s="501"/>
      <c r="BKD47" s="501"/>
      <c r="BKE47" s="501"/>
      <c r="BKF47" s="501"/>
      <c r="BKG47" s="501"/>
      <c r="BKH47" s="501"/>
      <c r="BKI47" s="501"/>
      <c r="BKJ47" s="501"/>
      <c r="BKK47" s="501"/>
      <c r="BKL47" s="501"/>
      <c r="BKM47" s="501"/>
      <c r="BKN47" s="501"/>
      <c r="BKO47" s="501"/>
      <c r="BKP47" s="501"/>
      <c r="BKQ47" s="501"/>
      <c r="BKR47" s="501"/>
      <c r="BKS47" s="501"/>
      <c r="BKT47" s="501"/>
      <c r="BKU47" s="501"/>
      <c r="BKV47" s="501"/>
      <c r="BKW47" s="501"/>
      <c r="BKX47" s="501"/>
      <c r="BKY47" s="501"/>
      <c r="BKZ47" s="501"/>
      <c r="BLA47" s="501"/>
      <c r="BLB47" s="501"/>
      <c r="BLC47" s="501"/>
      <c r="BLD47" s="501"/>
      <c r="BLE47" s="501"/>
      <c r="BLF47" s="501"/>
      <c r="BLG47" s="501"/>
      <c r="BLH47" s="501"/>
      <c r="BLI47" s="501"/>
      <c r="BLJ47" s="501"/>
      <c r="BLK47" s="501"/>
      <c r="BLL47" s="501"/>
      <c r="BLM47" s="501"/>
      <c r="BLN47" s="501"/>
      <c r="BLO47" s="501"/>
      <c r="BLP47" s="501"/>
      <c r="BLQ47" s="501"/>
      <c r="BLR47" s="501"/>
      <c r="BLS47" s="501"/>
      <c r="BLT47" s="501"/>
      <c r="BLU47" s="501"/>
      <c r="BLV47" s="501"/>
      <c r="BLW47" s="501"/>
      <c r="BLX47" s="501"/>
      <c r="BLY47" s="501"/>
      <c r="BLZ47" s="501"/>
      <c r="BMA47" s="501"/>
      <c r="BMB47" s="501"/>
      <c r="BMC47" s="501"/>
      <c r="BMD47" s="501"/>
      <c r="BME47" s="501"/>
      <c r="BMF47" s="501"/>
      <c r="BMG47" s="501"/>
      <c r="BMH47" s="501"/>
      <c r="BMI47" s="501"/>
      <c r="BMJ47" s="501"/>
      <c r="BMK47" s="501"/>
      <c r="BML47" s="501"/>
      <c r="BMM47" s="501"/>
      <c r="BMN47" s="501"/>
      <c r="BMO47" s="501"/>
      <c r="BMP47" s="501"/>
      <c r="BMQ47" s="501"/>
      <c r="BMR47" s="501"/>
      <c r="BMS47" s="501"/>
      <c r="BMT47" s="501"/>
      <c r="BMU47" s="501"/>
      <c r="BMV47" s="501"/>
      <c r="BMW47" s="501"/>
      <c r="BMX47" s="501"/>
      <c r="BMY47" s="501"/>
      <c r="BMZ47" s="501"/>
      <c r="BNA47" s="501"/>
      <c r="BNB47" s="501"/>
      <c r="BNC47" s="501"/>
      <c r="BND47" s="501"/>
      <c r="BNE47" s="501"/>
      <c r="BNF47" s="501"/>
      <c r="BNG47" s="501"/>
      <c r="BNH47" s="501"/>
      <c r="BNI47" s="501"/>
      <c r="BNJ47" s="501"/>
      <c r="BNK47" s="501"/>
      <c r="BNL47" s="501"/>
      <c r="BNM47" s="501"/>
      <c r="BNN47" s="501"/>
      <c r="BNO47" s="501"/>
      <c r="BNP47" s="501"/>
      <c r="BNQ47" s="501"/>
      <c r="BNR47" s="501"/>
      <c r="BNS47" s="501"/>
      <c r="BNT47" s="501"/>
      <c r="BNU47" s="501"/>
      <c r="BNV47" s="501"/>
      <c r="BNW47" s="501"/>
      <c r="BNX47" s="501"/>
      <c r="BNY47" s="501"/>
      <c r="BNZ47" s="501"/>
      <c r="BOA47" s="501"/>
      <c r="BOB47" s="501"/>
      <c r="BOC47" s="501"/>
      <c r="BOD47" s="501"/>
      <c r="BOE47" s="501"/>
      <c r="BOF47" s="501"/>
      <c r="BOG47" s="501"/>
      <c r="BOH47" s="501"/>
      <c r="BOI47" s="501"/>
      <c r="BOJ47" s="501"/>
      <c r="BOK47" s="501"/>
      <c r="BOL47" s="501"/>
      <c r="BOM47" s="501"/>
      <c r="BON47" s="501"/>
      <c r="BOO47" s="501"/>
      <c r="BOP47" s="501"/>
      <c r="BOQ47" s="501"/>
      <c r="BOR47" s="501"/>
      <c r="BOS47" s="501"/>
      <c r="BOT47" s="501"/>
      <c r="BOU47" s="501"/>
      <c r="BOV47" s="501"/>
      <c r="BOW47" s="501"/>
      <c r="BOX47" s="501"/>
      <c r="BOY47" s="501"/>
      <c r="BOZ47" s="501"/>
      <c r="BPA47" s="501"/>
      <c r="BPB47" s="501"/>
      <c r="BPC47" s="501"/>
      <c r="BPD47" s="501"/>
      <c r="BPE47" s="501"/>
      <c r="BPF47" s="501"/>
      <c r="BPG47" s="501"/>
      <c r="BPH47" s="501"/>
      <c r="BPI47" s="501"/>
      <c r="BPJ47" s="501"/>
      <c r="BPK47" s="501"/>
      <c r="BPL47" s="501"/>
      <c r="BPM47" s="501"/>
      <c r="BPN47" s="501"/>
      <c r="BPO47" s="501"/>
      <c r="BPP47" s="501"/>
      <c r="BPQ47" s="501"/>
      <c r="BPR47" s="501"/>
      <c r="BPS47" s="501"/>
      <c r="BPT47" s="501"/>
      <c r="BPU47" s="501"/>
      <c r="BPV47" s="501"/>
      <c r="BPW47" s="501"/>
      <c r="BPX47" s="501"/>
      <c r="BPY47" s="501"/>
      <c r="BPZ47" s="501"/>
      <c r="BQA47" s="501"/>
      <c r="BQB47" s="501"/>
      <c r="BQC47" s="501"/>
      <c r="BQD47" s="501"/>
      <c r="BQE47" s="501"/>
      <c r="BQF47" s="501"/>
      <c r="BQG47" s="501"/>
      <c r="BQH47" s="501"/>
      <c r="BQI47" s="501"/>
      <c r="BQJ47" s="501"/>
      <c r="BQK47" s="501"/>
      <c r="BQL47" s="501"/>
      <c r="BQM47" s="501"/>
      <c r="BQN47" s="501"/>
      <c r="BQO47" s="501"/>
      <c r="BQP47" s="501"/>
      <c r="BQQ47" s="501"/>
      <c r="BQR47" s="501"/>
      <c r="BQS47" s="501"/>
      <c r="BQT47" s="501"/>
      <c r="BQU47" s="501"/>
      <c r="BQV47" s="501"/>
      <c r="BQW47" s="501"/>
      <c r="BQX47" s="501"/>
      <c r="BQY47" s="501"/>
      <c r="BQZ47" s="501"/>
      <c r="BRA47" s="501"/>
      <c r="BRB47" s="501"/>
      <c r="BRC47" s="501"/>
      <c r="BRD47" s="501"/>
      <c r="BRE47" s="501"/>
      <c r="BRF47" s="501"/>
      <c r="BRG47" s="501"/>
      <c r="BRH47" s="501"/>
      <c r="BRI47" s="501"/>
      <c r="BRJ47" s="501"/>
      <c r="BRK47" s="501"/>
      <c r="BRL47" s="501"/>
      <c r="BRM47" s="501"/>
      <c r="BRN47" s="501"/>
      <c r="BRO47" s="501"/>
      <c r="BRP47" s="501"/>
      <c r="BRQ47" s="501"/>
      <c r="BRR47" s="501"/>
      <c r="BRS47" s="501"/>
      <c r="BRT47" s="501"/>
      <c r="BRU47" s="501"/>
      <c r="BRV47" s="501"/>
      <c r="BRW47" s="501"/>
      <c r="BRX47" s="501"/>
      <c r="BRY47" s="501"/>
      <c r="BRZ47" s="501"/>
      <c r="BSA47" s="501"/>
      <c r="BSB47" s="501"/>
      <c r="BSC47" s="501"/>
    </row>
    <row r="48" spans="1:1849" s="502" customFormat="1" ht="15" x14ac:dyDescent="0.2">
      <c r="A48" s="503">
        <v>47</v>
      </c>
      <c r="B48" s="504" t="s">
        <v>25</v>
      </c>
      <c r="C48" s="548" t="s">
        <v>447</v>
      </c>
      <c r="D48" s="504" t="s">
        <v>26</v>
      </c>
      <c r="E48" s="504" t="s">
        <v>27</v>
      </c>
      <c r="F48" s="505">
        <v>20</v>
      </c>
      <c r="G48" s="505">
        <v>30</v>
      </c>
      <c r="H48" s="505">
        <v>20</v>
      </c>
      <c r="I48" s="505">
        <v>30</v>
      </c>
      <c r="J48" s="504">
        <v>1</v>
      </c>
      <c r="K48" s="504">
        <f t="shared" si="1"/>
        <v>600</v>
      </c>
      <c r="L48" s="504" t="s">
        <v>41</v>
      </c>
      <c r="M48" s="511" t="s">
        <v>313</v>
      </c>
      <c r="N48" s="505">
        <v>21.148278000000001</v>
      </c>
      <c r="O48" s="505">
        <v>79.096333000000001</v>
      </c>
      <c r="P48" s="506">
        <v>40000</v>
      </c>
      <c r="Q48" s="505">
        <v>50000</v>
      </c>
      <c r="R48" s="505">
        <v>70000</v>
      </c>
      <c r="S48"/>
      <c r="T48" s="501"/>
      <c r="U48" s="501"/>
      <c r="V48" s="501"/>
      <c r="W48" s="501"/>
      <c r="X48" s="501"/>
      <c r="Y48" s="501"/>
      <c r="Z48" s="501"/>
      <c r="AA48" s="501"/>
      <c r="AB48" s="501"/>
      <c r="AC48" s="501"/>
      <c r="AD48" s="501"/>
      <c r="AE48" s="501"/>
      <c r="AF48" s="501"/>
      <c r="AG48" s="501"/>
      <c r="AH48" s="501"/>
      <c r="AI48" s="501"/>
      <c r="AJ48" s="501"/>
      <c r="AK48" s="501"/>
      <c r="AL48" s="501"/>
      <c r="AM48" s="501"/>
      <c r="AN48" s="501"/>
      <c r="AO48" s="501"/>
      <c r="AP48" s="501"/>
      <c r="AQ48" s="501"/>
      <c r="AR48" s="501"/>
      <c r="AS48" s="501"/>
      <c r="AT48" s="501"/>
      <c r="AU48" s="501"/>
      <c r="AV48" s="501"/>
      <c r="AW48" s="501"/>
      <c r="AX48" s="501"/>
      <c r="AY48" s="501"/>
      <c r="AZ48" s="501"/>
      <c r="BA48" s="501"/>
      <c r="BB48" s="501"/>
      <c r="BC48" s="501"/>
      <c r="BD48" s="501"/>
      <c r="BE48" s="501"/>
      <c r="BF48" s="501"/>
      <c r="BG48" s="501"/>
      <c r="BH48" s="501"/>
      <c r="BI48" s="501"/>
      <c r="BJ48" s="501"/>
      <c r="BK48" s="501"/>
      <c r="BL48" s="501"/>
      <c r="BM48" s="501"/>
      <c r="BN48" s="501"/>
      <c r="BO48" s="501"/>
      <c r="BP48" s="501"/>
      <c r="BQ48" s="501"/>
      <c r="BR48" s="501"/>
      <c r="BS48" s="501"/>
      <c r="BT48" s="501"/>
      <c r="BU48" s="501"/>
      <c r="BV48" s="501"/>
      <c r="BW48" s="501"/>
      <c r="BX48" s="501"/>
      <c r="BY48" s="501"/>
      <c r="BZ48" s="501"/>
      <c r="CA48" s="501"/>
      <c r="CB48" s="501"/>
      <c r="CC48" s="501"/>
      <c r="CD48" s="501"/>
      <c r="CE48" s="501"/>
      <c r="CF48" s="501"/>
      <c r="CG48" s="501"/>
      <c r="CH48" s="501"/>
      <c r="CI48" s="501"/>
      <c r="CJ48" s="501"/>
      <c r="CK48" s="501"/>
      <c r="CL48" s="501"/>
      <c r="CM48" s="501"/>
      <c r="CN48" s="501"/>
      <c r="CO48" s="501"/>
      <c r="CP48" s="501"/>
      <c r="CQ48" s="501"/>
      <c r="CR48" s="501"/>
      <c r="CS48" s="501"/>
      <c r="CT48" s="501"/>
      <c r="CU48" s="501"/>
      <c r="CV48" s="501"/>
      <c r="CW48" s="501"/>
      <c r="CX48" s="501"/>
      <c r="CY48" s="501"/>
      <c r="CZ48" s="501"/>
      <c r="DA48" s="501"/>
      <c r="DB48" s="501"/>
      <c r="DC48" s="501"/>
      <c r="DD48" s="501"/>
      <c r="DE48" s="501"/>
      <c r="DF48" s="501"/>
      <c r="DG48" s="501"/>
      <c r="DH48" s="501"/>
      <c r="DI48" s="501"/>
      <c r="DJ48" s="501"/>
      <c r="DK48" s="501"/>
      <c r="DL48" s="501"/>
      <c r="DM48" s="501"/>
      <c r="DN48" s="501"/>
      <c r="DO48" s="501"/>
      <c r="DP48" s="501"/>
      <c r="DQ48" s="501"/>
      <c r="DR48" s="501"/>
      <c r="DS48" s="501"/>
      <c r="DT48" s="501"/>
      <c r="DU48" s="501"/>
      <c r="DV48" s="501"/>
      <c r="DW48" s="501"/>
      <c r="DX48" s="501"/>
      <c r="DY48" s="501"/>
      <c r="DZ48" s="501"/>
      <c r="EA48" s="501"/>
      <c r="EB48" s="501"/>
      <c r="EC48" s="501"/>
      <c r="ED48" s="501"/>
      <c r="EE48" s="501"/>
      <c r="EF48" s="501"/>
      <c r="EG48" s="501"/>
      <c r="EH48" s="501"/>
      <c r="EI48" s="501"/>
      <c r="EJ48" s="501"/>
      <c r="EK48" s="501"/>
      <c r="EL48" s="501"/>
      <c r="EM48" s="501"/>
      <c r="EN48" s="501"/>
      <c r="EO48" s="501"/>
      <c r="EP48" s="501"/>
      <c r="EQ48" s="501"/>
      <c r="ER48" s="501"/>
      <c r="ES48" s="501"/>
      <c r="ET48" s="501"/>
      <c r="EU48" s="501"/>
      <c r="EV48" s="501"/>
      <c r="EW48" s="501"/>
      <c r="EX48" s="501"/>
      <c r="EY48" s="501"/>
      <c r="EZ48" s="501"/>
      <c r="FA48" s="501"/>
      <c r="FB48" s="501"/>
      <c r="FC48" s="501"/>
      <c r="FD48" s="501"/>
      <c r="FE48" s="501"/>
      <c r="FF48" s="501"/>
      <c r="FG48" s="501"/>
      <c r="FH48" s="501"/>
      <c r="FI48" s="501"/>
      <c r="FJ48" s="501"/>
      <c r="FK48" s="501"/>
      <c r="FL48" s="501"/>
      <c r="FM48" s="501"/>
      <c r="FN48" s="501"/>
      <c r="FO48" s="501"/>
      <c r="FP48" s="501"/>
      <c r="FQ48" s="501"/>
      <c r="FR48" s="501"/>
      <c r="FS48" s="501"/>
      <c r="FT48" s="501"/>
      <c r="FU48" s="501"/>
      <c r="FV48" s="501"/>
      <c r="FW48" s="501"/>
      <c r="FX48" s="501"/>
      <c r="FY48" s="501"/>
      <c r="FZ48" s="501"/>
      <c r="GA48" s="501"/>
      <c r="GB48" s="501"/>
      <c r="GC48" s="501"/>
      <c r="GD48" s="501"/>
      <c r="GE48" s="501"/>
      <c r="GF48" s="501"/>
      <c r="GG48" s="501"/>
      <c r="GH48" s="501"/>
      <c r="GI48" s="501"/>
      <c r="GJ48" s="501"/>
      <c r="GK48" s="501"/>
      <c r="GL48" s="501"/>
      <c r="GM48" s="501"/>
      <c r="GN48" s="501"/>
      <c r="GO48" s="501"/>
      <c r="GP48" s="501"/>
      <c r="GQ48" s="501"/>
      <c r="GR48" s="501"/>
      <c r="GS48" s="501"/>
      <c r="GT48" s="501"/>
      <c r="GU48" s="501"/>
      <c r="GV48" s="501"/>
      <c r="GW48" s="501"/>
      <c r="GX48" s="501"/>
      <c r="GY48" s="501"/>
      <c r="GZ48" s="501"/>
      <c r="HA48" s="501"/>
      <c r="HB48" s="501"/>
      <c r="HC48" s="501"/>
      <c r="HD48" s="501"/>
      <c r="HE48" s="501"/>
      <c r="HF48" s="501"/>
      <c r="HG48" s="501"/>
      <c r="HH48" s="501"/>
      <c r="HI48" s="501"/>
      <c r="HJ48" s="501"/>
      <c r="HK48" s="501"/>
      <c r="HL48" s="501"/>
      <c r="HM48" s="501"/>
      <c r="HN48" s="501"/>
      <c r="HO48" s="501"/>
      <c r="HP48" s="501"/>
      <c r="HQ48" s="501"/>
      <c r="HR48" s="501"/>
      <c r="HS48" s="501"/>
      <c r="HT48" s="501"/>
      <c r="HU48" s="501"/>
      <c r="HV48" s="501"/>
      <c r="HW48" s="501"/>
      <c r="HX48" s="501"/>
      <c r="HY48" s="501"/>
      <c r="HZ48" s="501"/>
      <c r="IA48" s="501"/>
      <c r="IB48" s="501"/>
      <c r="IC48" s="501"/>
      <c r="ID48" s="501"/>
      <c r="IE48" s="501"/>
      <c r="IF48" s="501"/>
      <c r="IG48" s="501"/>
      <c r="IH48" s="501"/>
      <c r="II48" s="501"/>
      <c r="IJ48" s="501"/>
      <c r="IK48" s="501"/>
      <c r="IL48" s="501"/>
      <c r="IM48" s="501"/>
      <c r="IN48" s="501"/>
      <c r="IO48" s="501"/>
      <c r="IP48" s="501"/>
      <c r="IQ48" s="501"/>
      <c r="IR48" s="501"/>
      <c r="IS48" s="501"/>
      <c r="IT48" s="501"/>
      <c r="IU48" s="501"/>
      <c r="IV48" s="501"/>
      <c r="IW48" s="501"/>
      <c r="IX48" s="501"/>
      <c r="IY48" s="501"/>
      <c r="IZ48" s="501"/>
      <c r="JA48" s="501"/>
      <c r="JB48" s="501"/>
      <c r="JC48" s="501"/>
      <c r="JD48" s="501"/>
      <c r="JE48" s="501"/>
      <c r="JF48" s="501"/>
      <c r="JG48" s="501"/>
      <c r="JH48" s="501"/>
      <c r="JI48" s="501"/>
      <c r="JJ48" s="501"/>
      <c r="JK48" s="501"/>
      <c r="JL48" s="501"/>
      <c r="JM48" s="501"/>
      <c r="JN48" s="501"/>
      <c r="JO48" s="501"/>
      <c r="JP48" s="501"/>
      <c r="JQ48" s="501"/>
      <c r="JR48" s="501"/>
      <c r="JS48" s="501"/>
      <c r="JT48" s="501"/>
      <c r="JU48" s="501"/>
      <c r="JV48" s="501"/>
      <c r="JW48" s="501"/>
      <c r="JX48" s="501"/>
      <c r="JY48" s="501"/>
      <c r="JZ48" s="501"/>
      <c r="KA48" s="501"/>
      <c r="KB48" s="501"/>
      <c r="KC48" s="501"/>
      <c r="KD48" s="501"/>
      <c r="KE48" s="501"/>
      <c r="KF48" s="501"/>
      <c r="KG48" s="501"/>
      <c r="KH48" s="501"/>
      <c r="KI48" s="501"/>
      <c r="KJ48" s="501"/>
      <c r="KK48" s="501"/>
      <c r="KL48" s="501"/>
      <c r="KM48" s="501"/>
      <c r="KN48" s="501"/>
      <c r="KO48" s="501"/>
      <c r="KP48" s="501"/>
      <c r="KQ48" s="501"/>
      <c r="KR48" s="501"/>
      <c r="KS48" s="501"/>
      <c r="KT48" s="501"/>
      <c r="KU48" s="501"/>
      <c r="KV48" s="501"/>
      <c r="KW48" s="501"/>
      <c r="KX48" s="501"/>
      <c r="KY48" s="501"/>
      <c r="KZ48" s="501"/>
      <c r="LA48" s="501"/>
      <c r="LB48" s="501"/>
      <c r="LC48" s="501"/>
      <c r="LD48" s="501"/>
      <c r="LE48" s="501"/>
      <c r="LF48" s="501"/>
      <c r="LG48" s="501"/>
      <c r="LH48" s="501"/>
      <c r="LI48" s="501"/>
      <c r="LJ48" s="501"/>
      <c r="LK48" s="501"/>
      <c r="LL48" s="501"/>
      <c r="LM48" s="501"/>
      <c r="LN48" s="501"/>
      <c r="LO48" s="501"/>
      <c r="LP48" s="501"/>
      <c r="LQ48" s="501"/>
      <c r="LR48" s="501"/>
      <c r="LS48" s="501"/>
      <c r="LT48" s="501"/>
      <c r="LU48" s="501"/>
      <c r="LV48" s="501"/>
      <c r="LW48" s="501"/>
      <c r="LX48" s="501"/>
      <c r="LY48" s="501"/>
      <c r="LZ48" s="501"/>
      <c r="MA48" s="501"/>
      <c r="MB48" s="501"/>
      <c r="MC48" s="501"/>
      <c r="MD48" s="501"/>
      <c r="ME48" s="501"/>
      <c r="MF48" s="501"/>
      <c r="MG48" s="501"/>
      <c r="MH48" s="501"/>
      <c r="MI48" s="501"/>
      <c r="MJ48" s="501"/>
      <c r="MK48" s="501"/>
      <c r="ML48" s="501"/>
      <c r="MM48" s="501"/>
      <c r="MN48" s="501"/>
      <c r="MO48" s="501"/>
      <c r="MP48" s="501"/>
      <c r="MQ48" s="501"/>
      <c r="MR48" s="501"/>
      <c r="MS48" s="501"/>
      <c r="MT48" s="501"/>
      <c r="MU48" s="501"/>
      <c r="MV48" s="501"/>
      <c r="MW48" s="501"/>
      <c r="MX48" s="501"/>
      <c r="MY48" s="501"/>
      <c r="MZ48" s="501"/>
      <c r="NA48" s="501"/>
      <c r="NB48" s="501"/>
      <c r="NC48" s="501"/>
      <c r="ND48" s="501"/>
      <c r="NE48" s="501"/>
      <c r="NF48" s="501"/>
      <c r="NG48" s="501"/>
      <c r="NH48" s="501"/>
      <c r="NI48" s="501"/>
      <c r="NJ48" s="501"/>
      <c r="NK48" s="501"/>
      <c r="NL48" s="501"/>
      <c r="NM48" s="501"/>
      <c r="NN48" s="501"/>
      <c r="NO48" s="501"/>
      <c r="NP48" s="501"/>
      <c r="NQ48" s="501"/>
      <c r="NR48" s="501"/>
      <c r="NS48" s="501"/>
      <c r="NT48" s="501"/>
      <c r="NU48" s="501"/>
      <c r="NV48" s="501"/>
      <c r="NW48" s="501"/>
      <c r="NX48" s="501"/>
      <c r="NY48" s="501"/>
      <c r="NZ48" s="501"/>
      <c r="OA48" s="501"/>
      <c r="OB48" s="501"/>
      <c r="OC48" s="501"/>
      <c r="OD48" s="501"/>
      <c r="OE48" s="501"/>
      <c r="OF48" s="501"/>
      <c r="OG48" s="501"/>
      <c r="OH48" s="501"/>
      <c r="OI48" s="501"/>
      <c r="OJ48" s="501"/>
      <c r="OK48" s="501"/>
      <c r="OL48" s="501"/>
      <c r="OM48" s="501"/>
      <c r="ON48" s="501"/>
      <c r="OO48" s="501"/>
      <c r="OP48" s="501"/>
      <c r="OQ48" s="501"/>
      <c r="OR48" s="501"/>
      <c r="OS48" s="501"/>
      <c r="OT48" s="501"/>
      <c r="OU48" s="501"/>
      <c r="OV48" s="501"/>
      <c r="OW48" s="501"/>
      <c r="OX48" s="501"/>
      <c r="OY48" s="501"/>
      <c r="OZ48" s="501"/>
      <c r="PA48" s="501"/>
      <c r="PB48" s="501"/>
      <c r="PC48" s="501"/>
      <c r="PD48" s="501"/>
      <c r="PE48" s="501"/>
      <c r="PF48" s="501"/>
      <c r="PG48" s="501"/>
      <c r="PH48" s="501"/>
      <c r="PI48" s="501"/>
      <c r="PJ48" s="501"/>
      <c r="PK48" s="501"/>
      <c r="PL48" s="501"/>
      <c r="PM48" s="501"/>
      <c r="PN48" s="501"/>
      <c r="PO48" s="501"/>
      <c r="PP48" s="501"/>
      <c r="PQ48" s="501"/>
      <c r="PR48" s="501"/>
      <c r="PS48" s="501"/>
      <c r="PT48" s="501"/>
      <c r="PU48" s="501"/>
      <c r="PV48" s="501"/>
      <c r="PW48" s="501"/>
      <c r="PX48" s="501"/>
      <c r="PY48" s="501"/>
      <c r="PZ48" s="501"/>
      <c r="QA48" s="501"/>
      <c r="QB48" s="501"/>
      <c r="QC48" s="501"/>
      <c r="QD48" s="501"/>
      <c r="QE48" s="501"/>
      <c r="QF48" s="501"/>
      <c r="QG48" s="501"/>
      <c r="QH48" s="501"/>
      <c r="QI48" s="501"/>
      <c r="QJ48" s="501"/>
      <c r="QK48" s="501"/>
      <c r="QL48" s="501"/>
      <c r="QM48" s="501"/>
      <c r="QN48" s="501"/>
      <c r="QO48" s="501"/>
      <c r="QP48" s="501"/>
      <c r="QQ48" s="501"/>
      <c r="QR48" s="501"/>
      <c r="QS48" s="501"/>
      <c r="QT48" s="501"/>
      <c r="QU48" s="501"/>
      <c r="QV48" s="501"/>
      <c r="QW48" s="501"/>
      <c r="QX48" s="501"/>
      <c r="QY48" s="501"/>
      <c r="QZ48" s="501"/>
      <c r="RA48" s="501"/>
      <c r="RB48" s="501"/>
      <c r="RC48" s="501"/>
      <c r="RD48" s="501"/>
      <c r="RE48" s="501"/>
      <c r="RF48" s="501"/>
      <c r="RG48" s="501"/>
      <c r="RH48" s="501"/>
      <c r="RI48" s="501"/>
      <c r="RJ48" s="501"/>
      <c r="RK48" s="501"/>
      <c r="RL48" s="501"/>
      <c r="RM48" s="501"/>
      <c r="RN48" s="501"/>
      <c r="RO48" s="501"/>
      <c r="RP48" s="501"/>
      <c r="RQ48" s="501"/>
      <c r="RR48" s="501"/>
      <c r="RS48" s="501"/>
      <c r="RT48" s="501"/>
      <c r="RU48" s="501"/>
      <c r="RV48" s="501"/>
      <c r="RW48" s="501"/>
      <c r="RX48" s="501"/>
      <c r="RY48" s="501"/>
      <c r="RZ48" s="501"/>
      <c r="SA48" s="501"/>
      <c r="SB48" s="501"/>
      <c r="SC48" s="501"/>
      <c r="SD48" s="501"/>
      <c r="SE48" s="501"/>
      <c r="SF48" s="501"/>
      <c r="SG48" s="501"/>
      <c r="SH48" s="501"/>
      <c r="SI48" s="501"/>
      <c r="SJ48" s="501"/>
      <c r="SK48" s="501"/>
      <c r="SL48" s="501"/>
      <c r="SM48" s="501"/>
      <c r="SN48" s="501"/>
      <c r="SO48" s="501"/>
      <c r="SP48" s="501"/>
      <c r="SQ48" s="501"/>
      <c r="SR48" s="501"/>
      <c r="SS48" s="501"/>
      <c r="ST48" s="501"/>
      <c r="SU48" s="501"/>
      <c r="SV48" s="501"/>
      <c r="SW48" s="501"/>
      <c r="SX48" s="501"/>
      <c r="SY48" s="501"/>
      <c r="SZ48" s="501"/>
      <c r="TA48" s="501"/>
      <c r="TB48" s="501"/>
      <c r="TC48" s="501"/>
      <c r="TD48" s="501"/>
      <c r="TE48" s="501"/>
      <c r="TF48" s="501"/>
      <c r="TG48" s="501"/>
      <c r="TH48" s="501"/>
      <c r="TI48" s="501"/>
      <c r="TJ48" s="501"/>
      <c r="TK48" s="501"/>
      <c r="TL48" s="501"/>
      <c r="TM48" s="501"/>
      <c r="TN48" s="501"/>
      <c r="TO48" s="501"/>
      <c r="TP48" s="501"/>
      <c r="TQ48" s="501"/>
      <c r="TR48" s="501"/>
      <c r="TS48" s="501"/>
      <c r="TT48" s="501"/>
      <c r="TU48" s="501"/>
      <c r="TV48" s="501"/>
      <c r="TW48" s="501"/>
      <c r="TX48" s="501"/>
      <c r="TY48" s="501"/>
      <c r="TZ48" s="501"/>
      <c r="UA48" s="501"/>
      <c r="UB48" s="501"/>
      <c r="UC48" s="501"/>
      <c r="UD48" s="501"/>
      <c r="UE48" s="501"/>
      <c r="UF48" s="501"/>
      <c r="UG48" s="501"/>
      <c r="UH48" s="501"/>
      <c r="UI48" s="501"/>
      <c r="UJ48" s="501"/>
      <c r="UK48" s="501"/>
      <c r="UL48" s="501"/>
      <c r="UM48" s="501"/>
      <c r="UN48" s="501"/>
      <c r="UO48" s="501"/>
      <c r="UP48" s="501"/>
      <c r="UQ48" s="501"/>
      <c r="UR48" s="501"/>
      <c r="US48" s="501"/>
      <c r="UT48" s="501"/>
      <c r="UU48" s="501"/>
      <c r="UV48" s="501"/>
      <c r="UW48" s="501"/>
      <c r="UX48" s="501"/>
      <c r="UY48" s="501"/>
      <c r="UZ48" s="501"/>
      <c r="VA48" s="501"/>
      <c r="VB48" s="501"/>
      <c r="VC48" s="501"/>
      <c r="VD48" s="501"/>
      <c r="VE48" s="501"/>
      <c r="VF48" s="501"/>
      <c r="VG48" s="501"/>
      <c r="VH48" s="501"/>
      <c r="VI48" s="501"/>
      <c r="VJ48" s="501"/>
      <c r="VK48" s="501"/>
      <c r="VL48" s="501"/>
      <c r="VM48" s="501"/>
      <c r="VN48" s="501"/>
      <c r="VO48" s="501"/>
      <c r="VP48" s="501"/>
      <c r="VQ48" s="501"/>
      <c r="VR48" s="501"/>
      <c r="VS48" s="501"/>
      <c r="VT48" s="501"/>
      <c r="VU48" s="501"/>
      <c r="VV48" s="501"/>
      <c r="VW48" s="501"/>
      <c r="VX48" s="501"/>
      <c r="VY48" s="501"/>
      <c r="VZ48" s="501"/>
      <c r="WA48" s="501"/>
      <c r="WB48" s="501"/>
      <c r="WC48" s="501"/>
      <c r="WD48" s="501"/>
      <c r="WE48" s="501"/>
      <c r="WF48" s="501"/>
      <c r="WG48" s="501"/>
      <c r="WH48" s="501"/>
      <c r="WI48" s="501"/>
      <c r="WJ48" s="501"/>
      <c r="WK48" s="501"/>
      <c r="WL48" s="501"/>
      <c r="WM48" s="501"/>
      <c r="WN48" s="501"/>
      <c r="WO48" s="501"/>
      <c r="WP48" s="501"/>
      <c r="WQ48" s="501"/>
      <c r="WR48" s="501"/>
      <c r="WS48" s="501"/>
      <c r="WT48" s="501"/>
      <c r="WU48" s="501"/>
      <c r="WV48" s="501"/>
      <c r="WW48" s="501"/>
      <c r="WX48" s="501"/>
      <c r="WY48" s="501"/>
      <c r="WZ48" s="501"/>
      <c r="XA48" s="501"/>
      <c r="XB48" s="501"/>
      <c r="XC48" s="501"/>
      <c r="XD48" s="501"/>
      <c r="XE48" s="501"/>
      <c r="XF48" s="501"/>
      <c r="XG48" s="501"/>
      <c r="XH48" s="501"/>
      <c r="XI48" s="501"/>
      <c r="XJ48" s="501"/>
      <c r="XK48" s="501"/>
      <c r="XL48" s="501"/>
      <c r="XM48" s="501"/>
      <c r="XN48" s="501"/>
      <c r="XO48" s="501"/>
      <c r="XP48" s="501"/>
      <c r="XQ48" s="501"/>
      <c r="XR48" s="501"/>
      <c r="XS48" s="501"/>
      <c r="XT48" s="501"/>
      <c r="XU48" s="501"/>
      <c r="XV48" s="501"/>
      <c r="XW48" s="501"/>
      <c r="XX48" s="501"/>
      <c r="XY48" s="501"/>
      <c r="XZ48" s="501"/>
      <c r="YA48" s="501"/>
      <c r="YB48" s="501"/>
      <c r="YC48" s="501"/>
      <c r="YD48" s="501"/>
      <c r="YE48" s="501"/>
      <c r="YF48" s="501"/>
      <c r="YG48" s="501"/>
      <c r="YH48" s="501"/>
      <c r="YI48" s="501"/>
      <c r="YJ48" s="501"/>
      <c r="YK48" s="501"/>
      <c r="YL48" s="501"/>
      <c r="YM48" s="501"/>
      <c r="YN48" s="501"/>
      <c r="YO48" s="501"/>
      <c r="YP48" s="501"/>
      <c r="YQ48" s="501"/>
      <c r="YR48" s="501"/>
      <c r="YS48" s="501"/>
      <c r="YT48" s="501"/>
      <c r="YU48" s="501"/>
      <c r="YV48" s="501"/>
      <c r="YW48" s="501"/>
      <c r="YX48" s="501"/>
      <c r="YY48" s="501"/>
      <c r="YZ48" s="501"/>
      <c r="ZA48" s="501"/>
      <c r="ZB48" s="501"/>
      <c r="ZC48" s="501"/>
      <c r="ZD48" s="501"/>
      <c r="ZE48" s="501"/>
      <c r="ZF48" s="501"/>
      <c r="ZG48" s="501"/>
      <c r="ZH48" s="501"/>
      <c r="ZI48" s="501"/>
      <c r="ZJ48" s="501"/>
      <c r="ZK48" s="501"/>
      <c r="ZL48" s="501"/>
      <c r="ZM48" s="501"/>
      <c r="ZN48" s="501"/>
      <c r="ZO48" s="501"/>
      <c r="ZP48" s="501"/>
      <c r="ZQ48" s="501"/>
      <c r="ZR48" s="501"/>
      <c r="ZS48" s="501"/>
      <c r="ZT48" s="501"/>
      <c r="ZU48" s="501"/>
      <c r="ZV48" s="501"/>
      <c r="ZW48" s="501"/>
      <c r="ZX48" s="501"/>
      <c r="ZY48" s="501"/>
      <c r="ZZ48" s="501"/>
      <c r="AAA48" s="501"/>
      <c r="AAB48" s="501"/>
      <c r="AAC48" s="501"/>
      <c r="AAD48" s="501"/>
      <c r="AAE48" s="501"/>
      <c r="AAF48" s="501"/>
      <c r="AAG48" s="501"/>
      <c r="AAH48" s="501"/>
      <c r="AAI48" s="501"/>
      <c r="AAJ48" s="501"/>
      <c r="AAK48" s="501"/>
      <c r="AAL48" s="501"/>
      <c r="AAM48" s="501"/>
      <c r="AAN48" s="501"/>
      <c r="AAO48" s="501"/>
      <c r="AAP48" s="501"/>
      <c r="AAQ48" s="501"/>
      <c r="AAR48" s="501"/>
      <c r="AAS48" s="501"/>
      <c r="AAT48" s="501"/>
      <c r="AAU48" s="501"/>
      <c r="AAV48" s="501"/>
      <c r="AAW48" s="501"/>
      <c r="AAX48" s="501"/>
      <c r="AAY48" s="501"/>
      <c r="AAZ48" s="501"/>
      <c r="ABA48" s="501"/>
      <c r="ABB48" s="501"/>
      <c r="ABC48" s="501"/>
      <c r="ABD48" s="501"/>
      <c r="ABE48" s="501"/>
      <c r="ABF48" s="501"/>
      <c r="ABG48" s="501"/>
      <c r="ABH48" s="501"/>
      <c r="ABI48" s="501"/>
      <c r="ABJ48" s="501"/>
      <c r="ABK48" s="501"/>
      <c r="ABL48" s="501"/>
      <c r="ABM48" s="501"/>
      <c r="ABN48" s="501"/>
      <c r="ABO48" s="501"/>
      <c r="ABP48" s="501"/>
      <c r="ABQ48" s="501"/>
      <c r="ABR48" s="501"/>
      <c r="ABS48" s="501"/>
      <c r="ABT48" s="501"/>
      <c r="ABU48" s="501"/>
      <c r="ABV48" s="501"/>
      <c r="ABW48" s="501"/>
      <c r="ABX48" s="501"/>
      <c r="ABY48" s="501"/>
      <c r="ABZ48" s="501"/>
      <c r="ACA48" s="501"/>
      <c r="ACB48" s="501"/>
      <c r="ACC48" s="501"/>
      <c r="ACD48" s="501"/>
      <c r="ACE48" s="501"/>
      <c r="ACF48" s="501"/>
      <c r="ACG48" s="501"/>
      <c r="ACH48" s="501"/>
      <c r="ACI48" s="501"/>
      <c r="ACJ48" s="501"/>
      <c r="ACK48" s="501"/>
      <c r="ACL48" s="501"/>
      <c r="ACM48" s="501"/>
      <c r="ACN48" s="501"/>
      <c r="ACO48" s="501"/>
      <c r="ACP48" s="501"/>
      <c r="ACQ48" s="501"/>
      <c r="ACR48" s="501"/>
      <c r="ACS48" s="501"/>
      <c r="ACT48" s="501"/>
      <c r="ACU48" s="501"/>
      <c r="ACV48" s="501"/>
      <c r="ACW48" s="501"/>
      <c r="ACX48" s="501"/>
      <c r="ACY48" s="501"/>
      <c r="ACZ48" s="501"/>
      <c r="ADA48" s="501"/>
      <c r="ADB48" s="501"/>
      <c r="ADC48" s="501"/>
      <c r="ADD48" s="501"/>
      <c r="ADE48" s="501"/>
      <c r="ADF48" s="501"/>
      <c r="ADG48" s="501"/>
      <c r="ADH48" s="501"/>
      <c r="ADI48" s="501"/>
      <c r="ADJ48" s="501"/>
      <c r="ADK48" s="501"/>
      <c r="ADL48" s="501"/>
      <c r="ADM48" s="501"/>
      <c r="ADN48" s="501"/>
      <c r="ADO48" s="501"/>
      <c r="ADP48" s="501"/>
      <c r="ADQ48" s="501"/>
      <c r="ADR48" s="501"/>
      <c r="ADS48" s="501"/>
      <c r="ADT48" s="501"/>
      <c r="ADU48" s="501"/>
      <c r="ADV48" s="501"/>
      <c r="ADW48" s="501"/>
      <c r="ADX48" s="501"/>
      <c r="ADY48" s="501"/>
      <c r="ADZ48" s="501"/>
      <c r="AEA48" s="501"/>
      <c r="AEB48" s="501"/>
      <c r="AEC48" s="501"/>
      <c r="AED48" s="501"/>
      <c r="AEE48" s="501"/>
      <c r="AEF48" s="501"/>
      <c r="AEG48" s="501"/>
      <c r="AEH48" s="501"/>
      <c r="AEI48" s="501"/>
      <c r="AEJ48" s="501"/>
      <c r="AEK48" s="501"/>
      <c r="AEL48" s="501"/>
      <c r="AEM48" s="501"/>
      <c r="AEN48" s="501"/>
      <c r="AEO48" s="501"/>
      <c r="AEP48" s="501"/>
      <c r="AEQ48" s="501"/>
      <c r="AER48" s="501"/>
      <c r="AES48" s="501"/>
      <c r="AET48" s="501"/>
      <c r="AEU48" s="501"/>
      <c r="AEV48" s="501"/>
      <c r="AEW48" s="501"/>
      <c r="AEX48" s="501"/>
      <c r="AEY48" s="501"/>
      <c r="AEZ48" s="501"/>
      <c r="AFA48" s="501"/>
      <c r="AFB48" s="501"/>
      <c r="AFC48" s="501"/>
      <c r="AFD48" s="501"/>
      <c r="AFE48" s="501"/>
      <c r="AFF48" s="501"/>
      <c r="AFG48" s="501"/>
      <c r="AFH48" s="501"/>
      <c r="AFI48" s="501"/>
      <c r="AFJ48" s="501"/>
      <c r="AFK48" s="501"/>
      <c r="AFL48" s="501"/>
      <c r="AFM48" s="501"/>
      <c r="AFN48" s="501"/>
      <c r="AFO48" s="501"/>
      <c r="AFP48" s="501"/>
      <c r="AFQ48" s="501"/>
      <c r="AFR48" s="501"/>
      <c r="AFS48" s="501"/>
      <c r="AFT48" s="501"/>
      <c r="AFU48" s="501"/>
      <c r="AFV48" s="501"/>
      <c r="AFW48" s="501"/>
      <c r="AFX48" s="501"/>
      <c r="AFY48" s="501"/>
      <c r="AFZ48" s="501"/>
      <c r="AGA48" s="501"/>
      <c r="AGB48" s="501"/>
      <c r="AGC48" s="501"/>
      <c r="AGD48" s="501"/>
      <c r="AGE48" s="501"/>
      <c r="AGF48" s="501"/>
      <c r="AGG48" s="501"/>
      <c r="AGH48" s="501"/>
      <c r="AGI48" s="501"/>
      <c r="AGJ48" s="501"/>
      <c r="AGK48" s="501"/>
      <c r="AGL48" s="501"/>
      <c r="AGM48" s="501"/>
      <c r="AGN48" s="501"/>
      <c r="AGO48" s="501"/>
      <c r="AGP48" s="501"/>
      <c r="AGQ48" s="501"/>
      <c r="AGR48" s="501"/>
      <c r="AGS48" s="501"/>
      <c r="AGT48" s="501"/>
      <c r="AGU48" s="501"/>
      <c r="AGV48" s="501"/>
      <c r="AGW48" s="501"/>
      <c r="AGX48" s="501"/>
      <c r="AGY48" s="501"/>
      <c r="AGZ48" s="501"/>
      <c r="AHA48" s="501"/>
      <c r="AHB48" s="501"/>
      <c r="AHC48" s="501"/>
      <c r="AHD48" s="501"/>
      <c r="AHE48" s="501"/>
      <c r="AHF48" s="501"/>
      <c r="AHG48" s="501"/>
      <c r="AHH48" s="501"/>
      <c r="AHI48" s="501"/>
      <c r="AHJ48" s="501"/>
      <c r="AHK48" s="501"/>
      <c r="AHL48" s="501"/>
      <c r="AHM48" s="501"/>
      <c r="AHN48" s="501"/>
      <c r="AHO48" s="501"/>
      <c r="AHP48" s="501"/>
      <c r="AHQ48" s="501"/>
      <c r="AHR48" s="501"/>
      <c r="AHS48" s="501"/>
      <c r="AHT48" s="501"/>
      <c r="AHU48" s="501"/>
      <c r="AHV48" s="501"/>
      <c r="AHW48" s="501"/>
      <c r="AHX48" s="501"/>
      <c r="AHY48" s="501"/>
      <c r="AHZ48" s="501"/>
      <c r="AIA48" s="501"/>
      <c r="AIB48" s="501"/>
      <c r="AIC48" s="501"/>
      <c r="AID48" s="501"/>
      <c r="AIE48" s="501"/>
      <c r="AIF48" s="501"/>
      <c r="AIG48" s="501"/>
      <c r="AIH48" s="501"/>
      <c r="AII48" s="501"/>
      <c r="AIJ48" s="501"/>
      <c r="AIK48" s="501"/>
      <c r="AIL48" s="501"/>
      <c r="AIM48" s="501"/>
      <c r="AIN48" s="501"/>
      <c r="AIO48" s="501"/>
      <c r="AIP48" s="501"/>
      <c r="AIQ48" s="501"/>
      <c r="AIR48" s="501"/>
      <c r="AIS48" s="501"/>
      <c r="AIT48" s="501"/>
      <c r="AIU48" s="501"/>
      <c r="AIV48" s="501"/>
      <c r="AIW48" s="501"/>
      <c r="AIX48" s="501"/>
      <c r="AIY48" s="501"/>
      <c r="AIZ48" s="501"/>
      <c r="AJA48" s="501"/>
      <c r="AJB48" s="501"/>
      <c r="AJC48" s="501"/>
      <c r="AJD48" s="501"/>
      <c r="AJE48" s="501"/>
      <c r="AJF48" s="501"/>
      <c r="AJG48" s="501"/>
      <c r="AJH48" s="501"/>
      <c r="AJI48" s="501"/>
      <c r="AJJ48" s="501"/>
      <c r="AJK48" s="501"/>
      <c r="AJL48" s="501"/>
      <c r="AJM48" s="501"/>
      <c r="AJN48" s="501"/>
      <c r="AJO48" s="501"/>
      <c r="AJP48" s="501"/>
      <c r="AJQ48" s="501"/>
      <c r="AJR48" s="501"/>
      <c r="AJS48" s="501"/>
      <c r="AJT48" s="501"/>
      <c r="AJU48" s="501"/>
      <c r="AJV48" s="501"/>
      <c r="AJW48" s="501"/>
      <c r="AJX48" s="501"/>
      <c r="AJY48" s="501"/>
      <c r="AJZ48" s="501"/>
      <c r="AKA48" s="501"/>
      <c r="AKB48" s="501"/>
      <c r="AKC48" s="501"/>
      <c r="AKD48" s="501"/>
      <c r="AKE48" s="501"/>
      <c r="AKF48" s="501"/>
      <c r="AKG48" s="501"/>
      <c r="AKH48" s="501"/>
      <c r="AKI48" s="501"/>
      <c r="AKJ48" s="501"/>
      <c r="AKK48" s="501"/>
      <c r="AKL48" s="501"/>
      <c r="AKM48" s="501"/>
      <c r="AKN48" s="501"/>
      <c r="AKO48" s="501"/>
      <c r="AKP48" s="501"/>
      <c r="AKQ48" s="501"/>
      <c r="AKR48" s="501"/>
      <c r="AKS48" s="501"/>
      <c r="AKT48" s="501"/>
      <c r="AKU48" s="501"/>
      <c r="AKV48" s="501"/>
      <c r="AKW48" s="501"/>
      <c r="AKX48" s="501"/>
      <c r="AKY48" s="501"/>
      <c r="AKZ48" s="501"/>
      <c r="ALA48" s="501"/>
      <c r="ALB48" s="501"/>
      <c r="ALC48" s="501"/>
      <c r="ALD48" s="501"/>
      <c r="ALE48" s="501"/>
      <c r="ALF48" s="501"/>
      <c r="ALG48" s="501"/>
      <c r="ALH48" s="501"/>
      <c r="ALI48" s="501"/>
      <c r="ALJ48" s="501"/>
      <c r="ALK48" s="501"/>
      <c r="ALL48" s="501"/>
      <c r="ALM48" s="501"/>
      <c r="ALN48" s="501"/>
      <c r="ALO48" s="501"/>
      <c r="ALP48" s="501"/>
      <c r="ALQ48" s="501"/>
      <c r="ALR48" s="501"/>
      <c r="ALS48" s="501"/>
      <c r="ALT48" s="501"/>
      <c r="ALU48" s="501"/>
      <c r="ALV48" s="501"/>
      <c r="ALW48" s="501"/>
      <c r="ALX48" s="501"/>
      <c r="ALY48" s="501"/>
      <c r="ALZ48" s="501"/>
      <c r="AMA48" s="501"/>
      <c r="AMB48" s="501"/>
      <c r="AMC48" s="501"/>
      <c r="AMD48" s="501"/>
      <c r="AME48" s="501"/>
      <c r="AMF48" s="501"/>
      <c r="AMG48" s="501"/>
      <c r="AMH48" s="501"/>
      <c r="AMI48" s="501"/>
      <c r="AMJ48" s="501"/>
      <c r="AMK48" s="501"/>
      <c r="AML48" s="501"/>
      <c r="AMM48" s="501"/>
      <c r="AMN48" s="501"/>
      <c r="AMO48" s="501"/>
      <c r="AMP48" s="501"/>
      <c r="AMQ48" s="501"/>
      <c r="AMR48" s="501"/>
      <c r="AMS48" s="501"/>
      <c r="AMT48" s="501"/>
      <c r="AMU48" s="501"/>
      <c r="AMV48" s="501"/>
      <c r="AMW48" s="501"/>
      <c r="AMX48" s="501"/>
      <c r="AMY48" s="501"/>
      <c r="AMZ48" s="501"/>
      <c r="ANA48" s="501"/>
      <c r="ANB48" s="501"/>
      <c r="ANC48" s="501"/>
      <c r="AND48" s="501"/>
      <c r="ANE48" s="501"/>
      <c r="ANF48" s="501"/>
      <c r="ANG48" s="501"/>
      <c r="ANH48" s="501"/>
      <c r="ANI48" s="501"/>
      <c r="ANJ48" s="501"/>
      <c r="ANK48" s="501"/>
      <c r="ANL48" s="501"/>
      <c r="ANM48" s="501"/>
      <c r="ANN48" s="501"/>
      <c r="ANO48" s="501"/>
      <c r="ANP48" s="501"/>
      <c r="ANQ48" s="501"/>
      <c r="ANR48" s="501"/>
      <c r="ANS48" s="501"/>
      <c r="ANT48" s="501"/>
      <c r="ANU48" s="501"/>
      <c r="ANV48" s="501"/>
      <c r="ANW48" s="501"/>
      <c r="ANX48" s="501"/>
      <c r="ANY48" s="501"/>
      <c r="ANZ48" s="501"/>
      <c r="AOA48" s="501"/>
      <c r="AOB48" s="501"/>
      <c r="AOC48" s="501"/>
      <c r="AOD48" s="501"/>
      <c r="AOE48" s="501"/>
      <c r="AOF48" s="501"/>
      <c r="AOG48" s="501"/>
      <c r="AOH48" s="501"/>
      <c r="AOI48" s="501"/>
      <c r="AOJ48" s="501"/>
      <c r="AOK48" s="501"/>
      <c r="AOL48" s="501"/>
      <c r="AOM48" s="501"/>
      <c r="AON48" s="501"/>
      <c r="AOO48" s="501"/>
      <c r="AOP48" s="501"/>
      <c r="AOQ48" s="501"/>
      <c r="AOR48" s="501"/>
      <c r="AOS48" s="501"/>
      <c r="AOT48" s="501"/>
      <c r="AOU48" s="501"/>
      <c r="AOV48" s="501"/>
      <c r="AOW48" s="501"/>
      <c r="AOX48" s="501"/>
      <c r="AOY48" s="501"/>
      <c r="AOZ48" s="501"/>
      <c r="APA48" s="501"/>
      <c r="APB48" s="501"/>
      <c r="APC48" s="501"/>
      <c r="APD48" s="501"/>
      <c r="APE48" s="501"/>
      <c r="APF48" s="501"/>
      <c r="APG48" s="501"/>
      <c r="APH48" s="501"/>
      <c r="API48" s="501"/>
      <c r="APJ48" s="501"/>
      <c r="APK48" s="501"/>
      <c r="APL48" s="501"/>
      <c r="APM48" s="501"/>
      <c r="APN48" s="501"/>
      <c r="APO48" s="501"/>
      <c r="APP48" s="501"/>
      <c r="APQ48" s="501"/>
      <c r="APR48" s="501"/>
      <c r="APS48" s="501"/>
      <c r="APT48" s="501"/>
      <c r="APU48" s="501"/>
      <c r="APV48" s="501"/>
      <c r="APW48" s="501"/>
      <c r="APX48" s="501"/>
      <c r="APY48" s="501"/>
      <c r="APZ48" s="501"/>
      <c r="AQA48" s="501"/>
      <c r="AQB48" s="501"/>
      <c r="AQC48" s="501"/>
      <c r="AQD48" s="501"/>
      <c r="AQE48" s="501"/>
      <c r="AQF48" s="501"/>
      <c r="AQG48" s="501"/>
      <c r="AQH48" s="501"/>
      <c r="AQI48" s="501"/>
      <c r="AQJ48" s="501"/>
      <c r="AQK48" s="501"/>
      <c r="AQL48" s="501"/>
      <c r="AQM48" s="501"/>
      <c r="AQN48" s="501"/>
      <c r="AQO48" s="501"/>
      <c r="AQP48" s="501"/>
      <c r="AQQ48" s="501"/>
      <c r="AQR48" s="501"/>
      <c r="AQS48" s="501"/>
      <c r="AQT48" s="501"/>
      <c r="AQU48" s="501"/>
      <c r="AQV48" s="501"/>
      <c r="AQW48" s="501"/>
      <c r="AQX48" s="501"/>
      <c r="AQY48" s="501"/>
      <c r="AQZ48" s="501"/>
      <c r="ARA48" s="501"/>
      <c r="ARB48" s="501"/>
      <c r="ARC48" s="501"/>
      <c r="ARD48" s="501"/>
      <c r="ARE48" s="501"/>
      <c r="ARF48" s="501"/>
      <c r="ARG48" s="501"/>
      <c r="ARH48" s="501"/>
      <c r="ARI48" s="501"/>
      <c r="ARJ48" s="501"/>
      <c r="ARK48" s="501"/>
      <c r="ARL48" s="501"/>
      <c r="ARM48" s="501"/>
      <c r="ARN48" s="501"/>
      <c r="ARO48" s="501"/>
      <c r="ARP48" s="501"/>
      <c r="ARQ48" s="501"/>
      <c r="ARR48" s="501"/>
      <c r="ARS48" s="501"/>
      <c r="ART48" s="501"/>
      <c r="ARU48" s="501"/>
      <c r="ARV48" s="501"/>
      <c r="ARW48" s="501"/>
      <c r="ARX48" s="501"/>
      <c r="ARY48" s="501"/>
      <c r="ARZ48" s="501"/>
      <c r="ASA48" s="501"/>
      <c r="ASB48" s="501"/>
      <c r="ASC48" s="501"/>
      <c r="ASD48" s="501"/>
      <c r="ASE48" s="501"/>
      <c r="ASF48" s="501"/>
      <c r="ASG48" s="501"/>
      <c r="ASH48" s="501"/>
      <c r="ASI48" s="501"/>
      <c r="ASJ48" s="501"/>
      <c r="ASK48" s="501"/>
      <c r="ASL48" s="501"/>
      <c r="ASM48" s="501"/>
      <c r="ASN48" s="501"/>
      <c r="ASO48" s="501"/>
      <c r="ASP48" s="501"/>
      <c r="ASQ48" s="501"/>
      <c r="ASR48" s="501"/>
      <c r="ASS48" s="501"/>
      <c r="AST48" s="501"/>
      <c r="ASU48" s="501"/>
      <c r="ASV48" s="501"/>
      <c r="ASW48" s="501"/>
      <c r="ASX48" s="501"/>
      <c r="ASY48" s="501"/>
      <c r="ASZ48" s="501"/>
      <c r="ATA48" s="501"/>
      <c r="ATB48" s="501"/>
      <c r="ATC48" s="501"/>
      <c r="ATD48" s="501"/>
      <c r="ATE48" s="501"/>
      <c r="ATF48" s="501"/>
      <c r="ATG48" s="501"/>
      <c r="ATH48" s="501"/>
      <c r="ATI48" s="501"/>
      <c r="ATJ48" s="501"/>
      <c r="ATK48" s="501"/>
      <c r="ATL48" s="501"/>
      <c r="ATM48" s="501"/>
      <c r="ATN48" s="501"/>
      <c r="ATO48" s="501"/>
      <c r="ATP48" s="501"/>
      <c r="ATQ48" s="501"/>
      <c r="ATR48" s="501"/>
      <c r="ATS48" s="501"/>
      <c r="ATT48" s="501"/>
      <c r="ATU48" s="501"/>
      <c r="ATV48" s="501"/>
      <c r="ATW48" s="501"/>
      <c r="ATX48" s="501"/>
      <c r="ATY48" s="501"/>
      <c r="ATZ48" s="501"/>
      <c r="AUA48" s="501"/>
      <c r="AUB48" s="501"/>
      <c r="AUC48" s="501"/>
      <c r="AUD48" s="501"/>
      <c r="AUE48" s="501"/>
      <c r="AUF48" s="501"/>
      <c r="AUG48" s="501"/>
      <c r="AUH48" s="501"/>
      <c r="AUI48" s="501"/>
      <c r="AUJ48" s="501"/>
      <c r="AUK48" s="501"/>
      <c r="AUL48" s="501"/>
      <c r="AUM48" s="501"/>
      <c r="AUN48" s="501"/>
      <c r="AUO48" s="501"/>
      <c r="AUP48" s="501"/>
      <c r="AUQ48" s="501"/>
      <c r="AUR48" s="501"/>
      <c r="AUS48" s="501"/>
      <c r="AUT48" s="501"/>
      <c r="AUU48" s="501"/>
      <c r="AUV48" s="501"/>
      <c r="AUW48" s="501"/>
      <c r="AUX48" s="501"/>
      <c r="AUY48" s="501"/>
      <c r="AUZ48" s="501"/>
      <c r="AVA48" s="501"/>
      <c r="AVB48" s="501"/>
      <c r="AVC48" s="501"/>
      <c r="AVD48" s="501"/>
      <c r="AVE48" s="501"/>
      <c r="AVF48" s="501"/>
      <c r="AVG48" s="501"/>
      <c r="AVH48" s="501"/>
      <c r="AVI48" s="501"/>
      <c r="AVJ48" s="501"/>
      <c r="AVK48" s="501"/>
      <c r="AVL48" s="501"/>
      <c r="AVM48" s="501"/>
      <c r="AVN48" s="501"/>
      <c r="AVO48" s="501"/>
      <c r="AVP48" s="501"/>
      <c r="AVQ48" s="501"/>
      <c r="AVR48" s="501"/>
      <c r="AVS48" s="501"/>
      <c r="AVT48" s="501"/>
      <c r="AVU48" s="501"/>
      <c r="AVV48" s="501"/>
      <c r="AVW48" s="501"/>
      <c r="AVX48" s="501"/>
      <c r="AVY48" s="501"/>
      <c r="AVZ48" s="501"/>
      <c r="AWA48" s="501"/>
      <c r="AWB48" s="501"/>
      <c r="AWC48" s="501"/>
      <c r="AWD48" s="501"/>
      <c r="AWE48" s="501"/>
      <c r="AWF48" s="501"/>
      <c r="AWG48" s="501"/>
      <c r="AWH48" s="501"/>
      <c r="AWI48" s="501"/>
      <c r="AWJ48" s="501"/>
      <c r="AWK48" s="501"/>
      <c r="AWL48" s="501"/>
      <c r="AWM48" s="501"/>
      <c r="AWN48" s="501"/>
      <c r="AWO48" s="501"/>
      <c r="AWP48" s="501"/>
      <c r="AWQ48" s="501"/>
      <c r="AWR48" s="501"/>
      <c r="AWS48" s="501"/>
      <c r="AWT48" s="501"/>
      <c r="AWU48" s="501"/>
      <c r="AWV48" s="501"/>
      <c r="AWW48" s="501"/>
      <c r="AWX48" s="501"/>
      <c r="AWY48" s="501"/>
      <c r="AWZ48" s="501"/>
      <c r="AXA48" s="501"/>
      <c r="AXB48" s="501"/>
      <c r="AXC48" s="501"/>
      <c r="AXD48" s="501"/>
      <c r="AXE48" s="501"/>
      <c r="AXF48" s="501"/>
      <c r="AXG48" s="501"/>
      <c r="AXH48" s="501"/>
      <c r="AXI48" s="501"/>
      <c r="AXJ48" s="501"/>
      <c r="AXK48" s="501"/>
      <c r="AXL48" s="501"/>
      <c r="AXM48" s="501"/>
      <c r="AXN48" s="501"/>
      <c r="AXO48" s="501"/>
      <c r="AXP48" s="501"/>
      <c r="AXQ48" s="501"/>
      <c r="AXR48" s="501"/>
      <c r="AXS48" s="501"/>
      <c r="AXT48" s="501"/>
      <c r="AXU48" s="501"/>
      <c r="AXV48" s="501"/>
      <c r="AXW48" s="501"/>
      <c r="AXX48" s="501"/>
      <c r="AXY48" s="501"/>
      <c r="AXZ48" s="501"/>
      <c r="AYA48" s="501"/>
      <c r="AYB48" s="501"/>
      <c r="AYC48" s="501"/>
      <c r="AYD48" s="501"/>
      <c r="AYE48" s="501"/>
      <c r="AYF48" s="501"/>
      <c r="AYG48" s="501"/>
      <c r="AYH48" s="501"/>
      <c r="AYI48" s="501"/>
      <c r="AYJ48" s="501"/>
      <c r="AYK48" s="501"/>
      <c r="AYL48" s="501"/>
      <c r="AYM48" s="501"/>
      <c r="AYN48" s="501"/>
      <c r="AYO48" s="501"/>
      <c r="AYP48" s="501"/>
      <c r="AYQ48" s="501"/>
      <c r="AYR48" s="501"/>
      <c r="AYS48" s="501"/>
      <c r="AYT48" s="501"/>
      <c r="AYU48" s="501"/>
      <c r="AYV48" s="501"/>
      <c r="AYW48" s="501"/>
      <c r="AYX48" s="501"/>
      <c r="AYY48" s="501"/>
      <c r="AYZ48" s="501"/>
      <c r="AZA48" s="501"/>
      <c r="AZB48" s="501"/>
      <c r="AZC48" s="501"/>
      <c r="AZD48" s="501"/>
      <c r="AZE48" s="501"/>
      <c r="AZF48" s="501"/>
      <c r="AZG48" s="501"/>
      <c r="AZH48" s="501"/>
      <c r="AZI48" s="501"/>
      <c r="AZJ48" s="501"/>
      <c r="AZK48" s="501"/>
      <c r="AZL48" s="501"/>
      <c r="AZM48" s="501"/>
      <c r="AZN48" s="501"/>
      <c r="AZO48" s="501"/>
      <c r="AZP48" s="501"/>
      <c r="AZQ48" s="501"/>
      <c r="AZR48" s="501"/>
      <c r="AZS48" s="501"/>
      <c r="AZT48" s="501"/>
      <c r="AZU48" s="501"/>
      <c r="AZV48" s="501"/>
      <c r="AZW48" s="501"/>
      <c r="AZX48" s="501"/>
      <c r="AZY48" s="501"/>
      <c r="AZZ48" s="501"/>
      <c r="BAA48" s="501"/>
      <c r="BAB48" s="501"/>
      <c r="BAC48" s="501"/>
      <c r="BAD48" s="501"/>
      <c r="BAE48" s="501"/>
      <c r="BAF48" s="501"/>
      <c r="BAG48" s="501"/>
      <c r="BAH48" s="501"/>
      <c r="BAI48" s="501"/>
      <c r="BAJ48" s="501"/>
      <c r="BAK48" s="501"/>
      <c r="BAL48" s="501"/>
      <c r="BAM48" s="501"/>
      <c r="BAN48" s="501"/>
      <c r="BAO48" s="501"/>
      <c r="BAP48" s="501"/>
      <c r="BAQ48" s="501"/>
      <c r="BAR48" s="501"/>
      <c r="BAS48" s="501"/>
      <c r="BAT48" s="501"/>
      <c r="BAU48" s="501"/>
      <c r="BAV48" s="501"/>
      <c r="BAW48" s="501"/>
      <c r="BAX48" s="501"/>
      <c r="BAY48" s="501"/>
      <c r="BAZ48" s="501"/>
      <c r="BBA48" s="501"/>
      <c r="BBB48" s="501"/>
      <c r="BBC48" s="501"/>
      <c r="BBD48" s="501"/>
      <c r="BBE48" s="501"/>
      <c r="BBF48" s="501"/>
      <c r="BBG48" s="501"/>
      <c r="BBH48" s="501"/>
      <c r="BBI48" s="501"/>
      <c r="BBJ48" s="501"/>
      <c r="BBK48" s="501"/>
      <c r="BBL48" s="501"/>
      <c r="BBM48" s="501"/>
      <c r="BBN48" s="501"/>
      <c r="BBO48" s="501"/>
      <c r="BBP48" s="501"/>
      <c r="BBQ48" s="501"/>
      <c r="BBR48" s="501"/>
      <c r="BBS48" s="501"/>
      <c r="BBT48" s="501"/>
      <c r="BBU48" s="501"/>
      <c r="BBV48" s="501"/>
      <c r="BBW48" s="501"/>
      <c r="BBX48" s="501"/>
      <c r="BBY48" s="501"/>
      <c r="BBZ48" s="501"/>
      <c r="BCA48" s="501"/>
      <c r="BCB48" s="501"/>
      <c r="BCC48" s="501"/>
      <c r="BCD48" s="501"/>
      <c r="BCE48" s="501"/>
      <c r="BCF48" s="501"/>
      <c r="BCG48" s="501"/>
      <c r="BCH48" s="501"/>
      <c r="BCI48" s="501"/>
      <c r="BCJ48" s="501"/>
      <c r="BCK48" s="501"/>
      <c r="BCL48" s="501"/>
      <c r="BCM48" s="501"/>
      <c r="BCN48" s="501"/>
      <c r="BCO48" s="501"/>
      <c r="BCP48" s="501"/>
      <c r="BCQ48" s="501"/>
      <c r="BCR48" s="501"/>
      <c r="BCS48" s="501"/>
      <c r="BCT48" s="501"/>
      <c r="BCU48" s="501"/>
      <c r="BCV48" s="501"/>
      <c r="BCW48" s="501"/>
      <c r="BCX48" s="501"/>
      <c r="BCY48" s="501"/>
      <c r="BCZ48" s="501"/>
      <c r="BDA48" s="501"/>
      <c r="BDB48" s="501"/>
      <c r="BDC48" s="501"/>
      <c r="BDD48" s="501"/>
      <c r="BDE48" s="501"/>
      <c r="BDF48" s="501"/>
      <c r="BDG48" s="501"/>
      <c r="BDH48" s="501"/>
      <c r="BDI48" s="501"/>
      <c r="BDJ48" s="501"/>
      <c r="BDK48" s="501"/>
      <c r="BDL48" s="501"/>
      <c r="BDM48" s="501"/>
      <c r="BDN48" s="501"/>
      <c r="BDO48" s="501"/>
      <c r="BDP48" s="501"/>
      <c r="BDQ48" s="501"/>
      <c r="BDR48" s="501"/>
      <c r="BDS48" s="501"/>
      <c r="BDT48" s="501"/>
      <c r="BDU48" s="501"/>
      <c r="BDV48" s="501"/>
      <c r="BDW48" s="501"/>
      <c r="BDX48" s="501"/>
      <c r="BDY48" s="501"/>
      <c r="BDZ48" s="501"/>
      <c r="BEA48" s="501"/>
      <c r="BEB48" s="501"/>
      <c r="BEC48" s="501"/>
      <c r="BED48" s="501"/>
      <c r="BEE48" s="501"/>
      <c r="BEF48" s="501"/>
      <c r="BEG48" s="501"/>
      <c r="BEH48" s="501"/>
      <c r="BEI48" s="501"/>
      <c r="BEJ48" s="501"/>
      <c r="BEK48" s="501"/>
      <c r="BEL48" s="501"/>
      <c r="BEM48" s="501"/>
      <c r="BEN48" s="501"/>
      <c r="BEO48" s="501"/>
      <c r="BEP48" s="501"/>
      <c r="BEQ48" s="501"/>
      <c r="BER48" s="501"/>
      <c r="BES48" s="501"/>
      <c r="BET48" s="501"/>
      <c r="BEU48" s="501"/>
      <c r="BEV48" s="501"/>
      <c r="BEW48" s="501"/>
      <c r="BEX48" s="501"/>
      <c r="BEY48" s="501"/>
      <c r="BEZ48" s="501"/>
      <c r="BFA48" s="501"/>
      <c r="BFB48" s="501"/>
      <c r="BFC48" s="501"/>
      <c r="BFD48" s="501"/>
      <c r="BFE48" s="501"/>
      <c r="BFF48" s="501"/>
      <c r="BFG48" s="501"/>
      <c r="BFH48" s="501"/>
      <c r="BFI48" s="501"/>
      <c r="BFJ48" s="501"/>
      <c r="BFK48" s="501"/>
      <c r="BFL48" s="501"/>
      <c r="BFM48" s="501"/>
      <c r="BFN48" s="501"/>
      <c r="BFO48" s="501"/>
      <c r="BFP48" s="501"/>
      <c r="BFQ48" s="501"/>
      <c r="BFR48" s="501"/>
      <c r="BFS48" s="501"/>
      <c r="BFT48" s="501"/>
      <c r="BFU48" s="501"/>
      <c r="BFV48" s="501"/>
      <c r="BFW48" s="501"/>
      <c r="BFX48" s="501"/>
      <c r="BFY48" s="501"/>
      <c r="BFZ48" s="501"/>
      <c r="BGA48" s="501"/>
      <c r="BGB48" s="501"/>
      <c r="BGC48" s="501"/>
      <c r="BGD48" s="501"/>
      <c r="BGE48" s="501"/>
      <c r="BGF48" s="501"/>
      <c r="BGG48" s="501"/>
      <c r="BGH48" s="501"/>
      <c r="BGI48" s="501"/>
      <c r="BGJ48" s="501"/>
      <c r="BGK48" s="501"/>
      <c r="BGL48" s="501"/>
      <c r="BGM48" s="501"/>
      <c r="BGN48" s="501"/>
      <c r="BGO48" s="501"/>
      <c r="BGP48" s="501"/>
      <c r="BGQ48" s="501"/>
      <c r="BGR48" s="501"/>
      <c r="BGS48" s="501"/>
      <c r="BGT48" s="501"/>
      <c r="BGU48" s="501"/>
      <c r="BGV48" s="501"/>
      <c r="BGW48" s="501"/>
      <c r="BGX48" s="501"/>
      <c r="BGY48" s="501"/>
      <c r="BGZ48" s="501"/>
      <c r="BHA48" s="501"/>
      <c r="BHB48" s="501"/>
      <c r="BHC48" s="501"/>
      <c r="BHD48" s="501"/>
      <c r="BHE48" s="501"/>
      <c r="BHF48" s="501"/>
      <c r="BHG48" s="501"/>
      <c r="BHH48" s="501"/>
      <c r="BHI48" s="501"/>
      <c r="BHJ48" s="501"/>
      <c r="BHK48" s="501"/>
      <c r="BHL48" s="501"/>
      <c r="BHM48" s="501"/>
      <c r="BHN48" s="501"/>
      <c r="BHO48" s="501"/>
      <c r="BHP48" s="501"/>
      <c r="BHQ48" s="501"/>
      <c r="BHR48" s="501"/>
      <c r="BHS48" s="501"/>
      <c r="BHT48" s="501"/>
      <c r="BHU48" s="501"/>
      <c r="BHV48" s="501"/>
      <c r="BHW48" s="501"/>
      <c r="BHX48" s="501"/>
      <c r="BHY48" s="501"/>
      <c r="BHZ48" s="501"/>
      <c r="BIA48" s="501"/>
      <c r="BIB48" s="501"/>
      <c r="BIC48" s="501"/>
      <c r="BID48" s="501"/>
      <c r="BIE48" s="501"/>
      <c r="BIF48" s="501"/>
      <c r="BIG48" s="501"/>
      <c r="BIH48" s="501"/>
      <c r="BII48" s="501"/>
      <c r="BIJ48" s="501"/>
      <c r="BIK48" s="501"/>
      <c r="BIL48" s="501"/>
      <c r="BIM48" s="501"/>
      <c r="BIN48" s="501"/>
      <c r="BIO48" s="501"/>
      <c r="BIP48" s="501"/>
      <c r="BIQ48" s="501"/>
      <c r="BIR48" s="501"/>
      <c r="BIS48" s="501"/>
      <c r="BIT48" s="501"/>
      <c r="BIU48" s="501"/>
      <c r="BIV48" s="501"/>
      <c r="BIW48" s="501"/>
      <c r="BIX48" s="501"/>
      <c r="BIY48" s="501"/>
      <c r="BIZ48" s="501"/>
      <c r="BJA48" s="501"/>
      <c r="BJB48" s="501"/>
      <c r="BJC48" s="501"/>
      <c r="BJD48" s="501"/>
      <c r="BJE48" s="501"/>
      <c r="BJF48" s="501"/>
      <c r="BJG48" s="501"/>
      <c r="BJH48" s="501"/>
      <c r="BJI48" s="501"/>
      <c r="BJJ48" s="501"/>
      <c r="BJK48" s="501"/>
      <c r="BJL48" s="501"/>
      <c r="BJM48" s="501"/>
      <c r="BJN48" s="501"/>
      <c r="BJO48" s="501"/>
      <c r="BJP48" s="501"/>
      <c r="BJQ48" s="501"/>
      <c r="BJR48" s="501"/>
      <c r="BJS48" s="501"/>
      <c r="BJT48" s="501"/>
      <c r="BJU48" s="501"/>
      <c r="BJV48" s="501"/>
      <c r="BJW48" s="501"/>
      <c r="BJX48" s="501"/>
      <c r="BJY48" s="501"/>
      <c r="BJZ48" s="501"/>
      <c r="BKA48" s="501"/>
      <c r="BKB48" s="501"/>
      <c r="BKC48" s="501"/>
      <c r="BKD48" s="501"/>
      <c r="BKE48" s="501"/>
      <c r="BKF48" s="501"/>
      <c r="BKG48" s="501"/>
      <c r="BKH48" s="501"/>
      <c r="BKI48" s="501"/>
      <c r="BKJ48" s="501"/>
      <c r="BKK48" s="501"/>
      <c r="BKL48" s="501"/>
      <c r="BKM48" s="501"/>
      <c r="BKN48" s="501"/>
      <c r="BKO48" s="501"/>
      <c r="BKP48" s="501"/>
      <c r="BKQ48" s="501"/>
      <c r="BKR48" s="501"/>
      <c r="BKS48" s="501"/>
      <c r="BKT48" s="501"/>
      <c r="BKU48" s="501"/>
      <c r="BKV48" s="501"/>
      <c r="BKW48" s="501"/>
      <c r="BKX48" s="501"/>
      <c r="BKY48" s="501"/>
      <c r="BKZ48" s="501"/>
      <c r="BLA48" s="501"/>
      <c r="BLB48" s="501"/>
      <c r="BLC48" s="501"/>
      <c r="BLD48" s="501"/>
      <c r="BLE48" s="501"/>
      <c r="BLF48" s="501"/>
      <c r="BLG48" s="501"/>
      <c r="BLH48" s="501"/>
      <c r="BLI48" s="501"/>
      <c r="BLJ48" s="501"/>
      <c r="BLK48" s="501"/>
      <c r="BLL48" s="501"/>
      <c r="BLM48" s="501"/>
      <c r="BLN48" s="501"/>
      <c r="BLO48" s="501"/>
      <c r="BLP48" s="501"/>
      <c r="BLQ48" s="501"/>
      <c r="BLR48" s="501"/>
      <c r="BLS48" s="501"/>
      <c r="BLT48" s="501"/>
      <c r="BLU48" s="501"/>
      <c r="BLV48" s="501"/>
      <c r="BLW48" s="501"/>
      <c r="BLX48" s="501"/>
      <c r="BLY48" s="501"/>
      <c r="BLZ48" s="501"/>
      <c r="BMA48" s="501"/>
      <c r="BMB48" s="501"/>
      <c r="BMC48" s="501"/>
      <c r="BMD48" s="501"/>
      <c r="BME48" s="501"/>
      <c r="BMF48" s="501"/>
      <c r="BMG48" s="501"/>
      <c r="BMH48" s="501"/>
      <c r="BMI48" s="501"/>
      <c r="BMJ48" s="501"/>
      <c r="BMK48" s="501"/>
      <c r="BML48" s="501"/>
      <c r="BMM48" s="501"/>
      <c r="BMN48" s="501"/>
      <c r="BMO48" s="501"/>
      <c r="BMP48" s="501"/>
      <c r="BMQ48" s="501"/>
      <c r="BMR48" s="501"/>
      <c r="BMS48" s="501"/>
      <c r="BMT48" s="501"/>
      <c r="BMU48" s="501"/>
      <c r="BMV48" s="501"/>
      <c r="BMW48" s="501"/>
      <c r="BMX48" s="501"/>
      <c r="BMY48" s="501"/>
      <c r="BMZ48" s="501"/>
      <c r="BNA48" s="501"/>
      <c r="BNB48" s="501"/>
      <c r="BNC48" s="501"/>
      <c r="BND48" s="501"/>
      <c r="BNE48" s="501"/>
      <c r="BNF48" s="501"/>
      <c r="BNG48" s="501"/>
      <c r="BNH48" s="501"/>
      <c r="BNI48" s="501"/>
      <c r="BNJ48" s="501"/>
      <c r="BNK48" s="501"/>
      <c r="BNL48" s="501"/>
      <c r="BNM48" s="501"/>
      <c r="BNN48" s="501"/>
      <c r="BNO48" s="501"/>
      <c r="BNP48" s="501"/>
      <c r="BNQ48" s="501"/>
      <c r="BNR48" s="501"/>
      <c r="BNS48" s="501"/>
      <c r="BNT48" s="501"/>
      <c r="BNU48" s="501"/>
      <c r="BNV48" s="501"/>
      <c r="BNW48" s="501"/>
      <c r="BNX48" s="501"/>
      <c r="BNY48" s="501"/>
      <c r="BNZ48" s="501"/>
      <c r="BOA48" s="501"/>
      <c r="BOB48" s="501"/>
      <c r="BOC48" s="501"/>
      <c r="BOD48" s="501"/>
      <c r="BOE48" s="501"/>
      <c r="BOF48" s="501"/>
      <c r="BOG48" s="501"/>
      <c r="BOH48" s="501"/>
      <c r="BOI48" s="501"/>
      <c r="BOJ48" s="501"/>
      <c r="BOK48" s="501"/>
      <c r="BOL48" s="501"/>
      <c r="BOM48" s="501"/>
      <c r="BON48" s="501"/>
      <c r="BOO48" s="501"/>
      <c r="BOP48" s="501"/>
      <c r="BOQ48" s="501"/>
      <c r="BOR48" s="501"/>
      <c r="BOS48" s="501"/>
      <c r="BOT48" s="501"/>
      <c r="BOU48" s="501"/>
      <c r="BOV48" s="501"/>
      <c r="BOW48" s="501"/>
      <c r="BOX48" s="501"/>
      <c r="BOY48" s="501"/>
      <c r="BOZ48" s="501"/>
      <c r="BPA48" s="501"/>
      <c r="BPB48" s="501"/>
      <c r="BPC48" s="501"/>
      <c r="BPD48" s="501"/>
      <c r="BPE48" s="501"/>
      <c r="BPF48" s="501"/>
      <c r="BPG48" s="501"/>
      <c r="BPH48" s="501"/>
      <c r="BPI48" s="501"/>
      <c r="BPJ48" s="501"/>
      <c r="BPK48" s="501"/>
      <c r="BPL48" s="501"/>
      <c r="BPM48" s="501"/>
      <c r="BPN48" s="501"/>
      <c r="BPO48" s="501"/>
      <c r="BPP48" s="501"/>
      <c r="BPQ48" s="501"/>
      <c r="BPR48" s="501"/>
      <c r="BPS48" s="501"/>
      <c r="BPT48" s="501"/>
      <c r="BPU48" s="501"/>
      <c r="BPV48" s="501"/>
      <c r="BPW48" s="501"/>
      <c r="BPX48" s="501"/>
      <c r="BPY48" s="501"/>
      <c r="BPZ48" s="501"/>
      <c r="BQA48" s="501"/>
      <c r="BQB48" s="501"/>
      <c r="BQC48" s="501"/>
      <c r="BQD48" s="501"/>
      <c r="BQE48" s="501"/>
      <c r="BQF48" s="501"/>
      <c r="BQG48" s="501"/>
      <c r="BQH48" s="501"/>
      <c r="BQI48" s="501"/>
      <c r="BQJ48" s="501"/>
      <c r="BQK48" s="501"/>
      <c r="BQL48" s="501"/>
      <c r="BQM48" s="501"/>
      <c r="BQN48" s="501"/>
      <c r="BQO48" s="501"/>
      <c r="BQP48" s="501"/>
      <c r="BQQ48" s="501"/>
      <c r="BQR48" s="501"/>
      <c r="BQS48" s="501"/>
      <c r="BQT48" s="501"/>
      <c r="BQU48" s="501"/>
      <c r="BQV48" s="501"/>
      <c r="BQW48" s="501"/>
      <c r="BQX48" s="501"/>
      <c r="BQY48" s="501"/>
      <c r="BQZ48" s="501"/>
      <c r="BRA48" s="501"/>
      <c r="BRB48" s="501"/>
      <c r="BRC48" s="501"/>
      <c r="BRD48" s="501"/>
      <c r="BRE48" s="501"/>
      <c r="BRF48" s="501"/>
      <c r="BRG48" s="501"/>
      <c r="BRH48" s="501"/>
      <c r="BRI48" s="501"/>
      <c r="BRJ48" s="501"/>
      <c r="BRK48" s="501"/>
      <c r="BRL48" s="501"/>
      <c r="BRM48" s="501"/>
      <c r="BRN48" s="501"/>
      <c r="BRO48" s="501"/>
      <c r="BRP48" s="501"/>
      <c r="BRQ48" s="501"/>
      <c r="BRR48" s="501"/>
      <c r="BRS48" s="501"/>
      <c r="BRT48" s="501"/>
      <c r="BRU48" s="501"/>
      <c r="BRV48" s="501"/>
      <c r="BRW48" s="501"/>
      <c r="BRX48" s="501"/>
      <c r="BRY48" s="501"/>
      <c r="BRZ48" s="501"/>
      <c r="BSA48" s="501"/>
      <c r="BSB48" s="501"/>
      <c r="BSC48" s="501"/>
    </row>
    <row r="49" spans="1:1849" s="502" customFormat="1" ht="15" x14ac:dyDescent="0.2">
      <c r="A49" s="503">
        <v>48</v>
      </c>
      <c r="B49" s="504" t="s">
        <v>25</v>
      </c>
      <c r="C49" s="685" t="s">
        <v>446</v>
      </c>
      <c r="D49" s="504" t="s">
        <v>26</v>
      </c>
      <c r="E49" s="504" t="s">
        <v>27</v>
      </c>
      <c r="F49" s="505">
        <v>40</v>
      </c>
      <c r="G49" s="505">
        <v>20</v>
      </c>
      <c r="H49" s="505">
        <v>40</v>
      </c>
      <c r="I49" s="505">
        <v>20</v>
      </c>
      <c r="J49" s="504">
        <v>1</v>
      </c>
      <c r="K49" s="504">
        <f t="shared" si="1"/>
        <v>800</v>
      </c>
      <c r="L49" s="504" t="s">
        <v>37</v>
      </c>
      <c r="M49" s="511" t="s">
        <v>353</v>
      </c>
      <c r="N49" s="505">
        <v>21.185835600750298</v>
      </c>
      <c r="O49" s="505">
        <v>79.119638596491697</v>
      </c>
      <c r="P49" s="506">
        <v>40000</v>
      </c>
      <c r="Q49" s="505">
        <v>50000</v>
      </c>
      <c r="R49" s="505">
        <v>100000</v>
      </c>
      <c r="S49" s="501"/>
      <c r="T49" s="501"/>
      <c r="U49" s="501"/>
      <c r="V49" s="501"/>
      <c r="W49" s="501"/>
      <c r="X49" s="501"/>
      <c r="Y49" s="501"/>
      <c r="Z49" s="501"/>
      <c r="AA49" s="501"/>
      <c r="AB49" s="501"/>
      <c r="AC49" s="501"/>
      <c r="AD49" s="501"/>
      <c r="AE49" s="501"/>
      <c r="AF49" s="501"/>
      <c r="AG49" s="501"/>
      <c r="AH49" s="501"/>
      <c r="AI49" s="501"/>
      <c r="AJ49" s="501"/>
      <c r="AK49" s="501"/>
      <c r="AL49" s="501"/>
      <c r="AM49" s="501"/>
      <c r="AN49" s="501"/>
      <c r="AO49" s="501"/>
      <c r="AP49" s="501"/>
      <c r="AQ49" s="501"/>
      <c r="AR49" s="501"/>
      <c r="AS49" s="501"/>
      <c r="AT49" s="501"/>
      <c r="AU49" s="501"/>
      <c r="AV49" s="501"/>
      <c r="AW49" s="501"/>
      <c r="AX49" s="501"/>
      <c r="AY49" s="501"/>
      <c r="AZ49" s="501"/>
      <c r="BA49" s="501"/>
      <c r="BB49" s="501"/>
      <c r="BC49" s="501"/>
      <c r="BD49" s="501"/>
      <c r="BE49" s="501"/>
      <c r="BF49" s="501"/>
      <c r="BG49" s="501"/>
      <c r="BH49" s="501"/>
      <c r="BI49" s="501"/>
      <c r="BJ49" s="501"/>
      <c r="BK49" s="501"/>
      <c r="BL49" s="501"/>
      <c r="BM49" s="501"/>
      <c r="BN49" s="501"/>
      <c r="BO49" s="501"/>
      <c r="BP49" s="501"/>
      <c r="BQ49" s="501"/>
      <c r="BR49" s="501"/>
      <c r="BS49" s="501"/>
      <c r="BT49" s="501"/>
      <c r="BU49" s="501"/>
      <c r="BV49" s="501"/>
      <c r="BW49" s="501"/>
      <c r="BX49" s="501"/>
      <c r="BY49" s="501"/>
      <c r="BZ49" s="501"/>
      <c r="CA49" s="501"/>
      <c r="CB49" s="501"/>
      <c r="CC49" s="501"/>
      <c r="CD49" s="501"/>
      <c r="CE49" s="501"/>
      <c r="CF49" s="501"/>
      <c r="CG49" s="501"/>
      <c r="CH49" s="501"/>
      <c r="CI49" s="501"/>
      <c r="CJ49" s="501"/>
      <c r="CK49" s="501"/>
      <c r="CL49" s="501"/>
      <c r="CM49" s="501"/>
      <c r="CN49" s="501"/>
      <c r="CO49" s="501"/>
      <c r="CP49" s="501"/>
      <c r="CQ49" s="501"/>
      <c r="CR49" s="501"/>
      <c r="CS49" s="501"/>
      <c r="CT49" s="501"/>
      <c r="CU49" s="501"/>
      <c r="CV49" s="501"/>
      <c r="CW49" s="501"/>
      <c r="CX49" s="501"/>
      <c r="CY49" s="501"/>
      <c r="CZ49" s="501"/>
      <c r="DA49" s="501"/>
      <c r="DB49" s="501"/>
      <c r="DC49" s="501"/>
      <c r="DD49" s="501"/>
      <c r="DE49" s="501"/>
      <c r="DF49" s="501"/>
      <c r="DG49" s="501"/>
      <c r="DH49" s="501"/>
      <c r="DI49" s="501"/>
      <c r="DJ49" s="501"/>
      <c r="DK49" s="501"/>
      <c r="DL49" s="501"/>
      <c r="DM49" s="501"/>
      <c r="DN49" s="501"/>
      <c r="DO49" s="501"/>
      <c r="DP49" s="501"/>
      <c r="DQ49" s="501"/>
      <c r="DR49" s="501"/>
      <c r="DS49" s="501"/>
      <c r="DT49" s="501"/>
      <c r="DU49" s="501"/>
      <c r="DV49" s="501"/>
      <c r="DW49" s="501"/>
      <c r="DX49" s="501"/>
      <c r="DY49" s="501"/>
      <c r="DZ49" s="501"/>
      <c r="EA49" s="501"/>
      <c r="EB49" s="501"/>
      <c r="EC49" s="501"/>
      <c r="ED49" s="501"/>
      <c r="EE49" s="501"/>
      <c r="EF49" s="501"/>
      <c r="EG49" s="501"/>
      <c r="EH49" s="501"/>
      <c r="EI49" s="501"/>
      <c r="EJ49" s="501"/>
      <c r="EK49" s="501"/>
      <c r="EL49" s="501"/>
      <c r="EM49" s="501"/>
      <c r="EN49" s="501"/>
      <c r="EO49" s="501"/>
      <c r="EP49" s="501"/>
      <c r="EQ49" s="501"/>
      <c r="ER49" s="501"/>
      <c r="ES49" s="501"/>
      <c r="ET49" s="501"/>
      <c r="EU49" s="501"/>
      <c r="EV49" s="501"/>
      <c r="EW49" s="501"/>
      <c r="EX49" s="501"/>
      <c r="EY49" s="501"/>
      <c r="EZ49" s="501"/>
      <c r="FA49" s="501"/>
      <c r="FB49" s="501"/>
      <c r="FC49" s="501"/>
      <c r="FD49" s="501"/>
      <c r="FE49" s="501"/>
      <c r="FF49" s="501"/>
      <c r="FG49" s="501"/>
      <c r="FH49" s="501"/>
      <c r="FI49" s="501"/>
      <c r="FJ49" s="501"/>
      <c r="FK49" s="501"/>
      <c r="FL49" s="501"/>
      <c r="FM49" s="501"/>
      <c r="FN49" s="501"/>
      <c r="FO49" s="501"/>
      <c r="FP49" s="501"/>
      <c r="FQ49" s="501"/>
      <c r="FR49" s="501"/>
      <c r="FS49" s="501"/>
      <c r="FT49" s="501"/>
      <c r="FU49" s="501"/>
      <c r="FV49" s="501"/>
      <c r="FW49" s="501"/>
      <c r="FX49" s="501"/>
      <c r="FY49" s="501"/>
      <c r="FZ49" s="501"/>
      <c r="GA49" s="501"/>
      <c r="GB49" s="501"/>
      <c r="GC49" s="501"/>
      <c r="GD49" s="501"/>
      <c r="GE49" s="501"/>
      <c r="GF49" s="501"/>
      <c r="GG49" s="501"/>
      <c r="GH49" s="501"/>
      <c r="GI49" s="501"/>
      <c r="GJ49" s="501"/>
      <c r="GK49" s="501"/>
      <c r="GL49" s="501"/>
      <c r="GM49" s="501"/>
      <c r="GN49" s="501"/>
      <c r="GO49" s="501"/>
      <c r="GP49" s="501"/>
      <c r="GQ49" s="501"/>
      <c r="GR49" s="501"/>
      <c r="GS49" s="501"/>
      <c r="GT49" s="501"/>
      <c r="GU49" s="501"/>
      <c r="GV49" s="501"/>
      <c r="GW49" s="501"/>
      <c r="GX49" s="501"/>
      <c r="GY49" s="501"/>
      <c r="GZ49" s="501"/>
      <c r="HA49" s="501"/>
      <c r="HB49" s="501"/>
      <c r="HC49" s="501"/>
      <c r="HD49" s="501"/>
      <c r="HE49" s="501"/>
      <c r="HF49" s="501"/>
      <c r="HG49" s="501"/>
      <c r="HH49" s="501"/>
      <c r="HI49" s="501"/>
      <c r="HJ49" s="501"/>
      <c r="HK49" s="501"/>
      <c r="HL49" s="501"/>
      <c r="HM49" s="501"/>
      <c r="HN49" s="501"/>
      <c r="HO49" s="501"/>
      <c r="HP49" s="501"/>
      <c r="HQ49" s="501"/>
      <c r="HR49" s="501"/>
      <c r="HS49" s="501"/>
      <c r="HT49" s="501"/>
      <c r="HU49" s="501"/>
      <c r="HV49" s="501"/>
      <c r="HW49" s="501"/>
      <c r="HX49" s="501"/>
      <c r="HY49" s="501"/>
      <c r="HZ49" s="501"/>
      <c r="IA49" s="501"/>
      <c r="IB49" s="501"/>
      <c r="IC49" s="501"/>
      <c r="ID49" s="501"/>
      <c r="IE49" s="501"/>
      <c r="IF49" s="501"/>
      <c r="IG49" s="501"/>
      <c r="IH49" s="501"/>
      <c r="II49" s="501"/>
      <c r="IJ49" s="501"/>
      <c r="IK49" s="501"/>
      <c r="IL49" s="501"/>
      <c r="IM49" s="501"/>
      <c r="IN49" s="501"/>
      <c r="IO49" s="501"/>
      <c r="IP49" s="501"/>
      <c r="IQ49" s="501"/>
      <c r="IR49" s="501"/>
      <c r="IS49" s="501"/>
      <c r="IT49" s="501"/>
      <c r="IU49" s="501"/>
      <c r="IV49" s="501"/>
      <c r="IW49" s="501"/>
      <c r="IX49" s="501"/>
      <c r="IY49" s="501"/>
      <c r="IZ49" s="501"/>
      <c r="JA49" s="501"/>
      <c r="JB49" s="501"/>
      <c r="JC49" s="501"/>
      <c r="JD49" s="501"/>
      <c r="JE49" s="501"/>
      <c r="JF49" s="501"/>
      <c r="JG49" s="501"/>
      <c r="JH49" s="501"/>
      <c r="JI49" s="501"/>
      <c r="JJ49" s="501"/>
      <c r="JK49" s="501"/>
      <c r="JL49" s="501"/>
      <c r="JM49" s="501"/>
      <c r="JN49" s="501"/>
      <c r="JO49" s="501"/>
      <c r="JP49" s="501"/>
      <c r="JQ49" s="501"/>
      <c r="JR49" s="501"/>
      <c r="JS49" s="501"/>
      <c r="JT49" s="501"/>
      <c r="JU49" s="501"/>
      <c r="JV49" s="501"/>
      <c r="JW49" s="501"/>
      <c r="JX49" s="501"/>
      <c r="JY49" s="501"/>
      <c r="JZ49" s="501"/>
      <c r="KA49" s="501"/>
      <c r="KB49" s="501"/>
      <c r="KC49" s="501"/>
      <c r="KD49" s="501"/>
      <c r="KE49" s="501"/>
      <c r="KF49" s="501"/>
      <c r="KG49" s="501"/>
      <c r="KH49" s="501"/>
      <c r="KI49" s="501"/>
      <c r="KJ49" s="501"/>
      <c r="KK49" s="501"/>
      <c r="KL49" s="501"/>
      <c r="KM49" s="501"/>
      <c r="KN49" s="501"/>
      <c r="KO49" s="501"/>
      <c r="KP49" s="501"/>
      <c r="KQ49" s="501"/>
      <c r="KR49" s="501"/>
      <c r="KS49" s="501"/>
      <c r="KT49" s="501"/>
      <c r="KU49" s="501"/>
      <c r="KV49" s="501"/>
      <c r="KW49" s="501"/>
      <c r="KX49" s="501"/>
      <c r="KY49" s="501"/>
      <c r="KZ49" s="501"/>
      <c r="LA49" s="501"/>
      <c r="LB49" s="501"/>
      <c r="LC49" s="501"/>
      <c r="LD49" s="501"/>
      <c r="LE49" s="501"/>
      <c r="LF49" s="501"/>
      <c r="LG49" s="501"/>
      <c r="LH49" s="501"/>
      <c r="LI49" s="501"/>
      <c r="LJ49" s="501"/>
      <c r="LK49" s="501"/>
      <c r="LL49" s="501"/>
      <c r="LM49" s="501"/>
      <c r="LN49" s="501"/>
      <c r="LO49" s="501"/>
      <c r="LP49" s="501"/>
      <c r="LQ49" s="501"/>
      <c r="LR49" s="501"/>
      <c r="LS49" s="501"/>
      <c r="LT49" s="501"/>
      <c r="LU49" s="501"/>
      <c r="LV49" s="501"/>
      <c r="LW49" s="501"/>
      <c r="LX49" s="501"/>
      <c r="LY49" s="501"/>
      <c r="LZ49" s="501"/>
      <c r="MA49" s="501"/>
      <c r="MB49" s="501"/>
      <c r="MC49" s="501"/>
      <c r="MD49" s="501"/>
      <c r="ME49" s="501"/>
      <c r="MF49" s="501"/>
      <c r="MG49" s="501"/>
      <c r="MH49" s="501"/>
      <c r="MI49" s="501"/>
      <c r="MJ49" s="501"/>
      <c r="MK49" s="501"/>
      <c r="ML49" s="501"/>
      <c r="MM49" s="501"/>
      <c r="MN49" s="501"/>
      <c r="MO49" s="501"/>
      <c r="MP49" s="501"/>
      <c r="MQ49" s="501"/>
      <c r="MR49" s="501"/>
      <c r="MS49" s="501"/>
      <c r="MT49" s="501"/>
      <c r="MU49" s="501"/>
      <c r="MV49" s="501"/>
      <c r="MW49" s="501"/>
      <c r="MX49" s="501"/>
      <c r="MY49" s="501"/>
      <c r="MZ49" s="501"/>
      <c r="NA49" s="501"/>
      <c r="NB49" s="501"/>
      <c r="NC49" s="501"/>
      <c r="ND49" s="501"/>
      <c r="NE49" s="501"/>
      <c r="NF49" s="501"/>
      <c r="NG49" s="501"/>
      <c r="NH49" s="501"/>
      <c r="NI49" s="501"/>
      <c r="NJ49" s="501"/>
      <c r="NK49" s="501"/>
      <c r="NL49" s="501"/>
      <c r="NM49" s="501"/>
      <c r="NN49" s="501"/>
      <c r="NO49" s="501"/>
      <c r="NP49" s="501"/>
      <c r="NQ49" s="501"/>
      <c r="NR49" s="501"/>
      <c r="NS49" s="501"/>
      <c r="NT49" s="501"/>
      <c r="NU49" s="501"/>
      <c r="NV49" s="501"/>
      <c r="NW49" s="501"/>
      <c r="NX49" s="501"/>
      <c r="NY49" s="501"/>
      <c r="NZ49" s="501"/>
      <c r="OA49" s="501"/>
      <c r="OB49" s="501"/>
      <c r="OC49" s="501"/>
      <c r="OD49" s="501"/>
      <c r="OE49" s="501"/>
      <c r="OF49" s="501"/>
      <c r="OG49" s="501"/>
      <c r="OH49" s="501"/>
      <c r="OI49" s="501"/>
      <c r="OJ49" s="501"/>
      <c r="OK49" s="501"/>
      <c r="OL49" s="501"/>
      <c r="OM49" s="501"/>
      <c r="ON49" s="501"/>
      <c r="OO49" s="501"/>
      <c r="OP49" s="501"/>
      <c r="OQ49" s="501"/>
      <c r="OR49" s="501"/>
      <c r="OS49" s="501"/>
      <c r="OT49" s="501"/>
      <c r="OU49" s="501"/>
      <c r="OV49" s="501"/>
      <c r="OW49" s="501"/>
      <c r="OX49" s="501"/>
      <c r="OY49" s="501"/>
      <c r="OZ49" s="501"/>
      <c r="PA49" s="501"/>
      <c r="PB49" s="501"/>
      <c r="PC49" s="501"/>
      <c r="PD49" s="501"/>
      <c r="PE49" s="501"/>
      <c r="PF49" s="501"/>
      <c r="PG49" s="501"/>
      <c r="PH49" s="501"/>
      <c r="PI49" s="501"/>
      <c r="PJ49" s="501"/>
      <c r="PK49" s="501"/>
      <c r="PL49" s="501"/>
      <c r="PM49" s="501"/>
      <c r="PN49" s="501"/>
      <c r="PO49" s="501"/>
      <c r="PP49" s="501"/>
      <c r="PQ49" s="501"/>
      <c r="PR49" s="501"/>
      <c r="PS49" s="501"/>
      <c r="PT49" s="501"/>
      <c r="PU49" s="501"/>
      <c r="PV49" s="501"/>
      <c r="PW49" s="501"/>
      <c r="PX49" s="501"/>
      <c r="PY49" s="501"/>
      <c r="PZ49" s="501"/>
      <c r="QA49" s="501"/>
      <c r="QB49" s="501"/>
      <c r="QC49" s="501"/>
      <c r="QD49" s="501"/>
      <c r="QE49" s="501"/>
      <c r="QF49" s="501"/>
      <c r="QG49" s="501"/>
      <c r="QH49" s="501"/>
      <c r="QI49" s="501"/>
      <c r="QJ49" s="501"/>
      <c r="QK49" s="501"/>
      <c r="QL49" s="501"/>
      <c r="QM49" s="501"/>
      <c r="QN49" s="501"/>
      <c r="QO49" s="501"/>
      <c r="QP49" s="501"/>
      <c r="QQ49" s="501"/>
      <c r="QR49" s="501"/>
      <c r="QS49" s="501"/>
      <c r="QT49" s="501"/>
      <c r="QU49" s="501"/>
      <c r="QV49" s="501"/>
      <c r="QW49" s="501"/>
      <c r="QX49" s="501"/>
      <c r="QY49" s="501"/>
      <c r="QZ49" s="501"/>
      <c r="RA49" s="501"/>
      <c r="RB49" s="501"/>
      <c r="RC49" s="501"/>
      <c r="RD49" s="501"/>
      <c r="RE49" s="501"/>
      <c r="RF49" s="501"/>
      <c r="RG49" s="501"/>
      <c r="RH49" s="501"/>
      <c r="RI49" s="501"/>
      <c r="RJ49" s="501"/>
      <c r="RK49" s="501"/>
      <c r="RL49" s="501"/>
      <c r="RM49" s="501"/>
      <c r="RN49" s="501"/>
      <c r="RO49" s="501"/>
      <c r="RP49" s="501"/>
      <c r="RQ49" s="501"/>
      <c r="RR49" s="501"/>
      <c r="RS49" s="501"/>
      <c r="RT49" s="501"/>
      <c r="RU49" s="501"/>
      <c r="RV49" s="501"/>
      <c r="RW49" s="501"/>
      <c r="RX49" s="501"/>
      <c r="RY49" s="501"/>
      <c r="RZ49" s="501"/>
      <c r="SA49" s="501"/>
      <c r="SB49" s="501"/>
      <c r="SC49" s="501"/>
      <c r="SD49" s="501"/>
      <c r="SE49" s="501"/>
      <c r="SF49" s="501"/>
      <c r="SG49" s="501"/>
      <c r="SH49" s="501"/>
      <c r="SI49" s="501"/>
      <c r="SJ49" s="501"/>
      <c r="SK49" s="501"/>
      <c r="SL49" s="501"/>
      <c r="SM49" s="501"/>
      <c r="SN49" s="501"/>
      <c r="SO49" s="501"/>
      <c r="SP49" s="501"/>
      <c r="SQ49" s="501"/>
      <c r="SR49" s="501"/>
      <c r="SS49" s="501"/>
      <c r="ST49" s="501"/>
      <c r="SU49" s="501"/>
      <c r="SV49" s="501"/>
      <c r="SW49" s="501"/>
      <c r="SX49" s="501"/>
      <c r="SY49" s="501"/>
      <c r="SZ49" s="501"/>
      <c r="TA49" s="501"/>
      <c r="TB49" s="501"/>
      <c r="TC49" s="501"/>
      <c r="TD49" s="501"/>
      <c r="TE49" s="501"/>
      <c r="TF49" s="501"/>
      <c r="TG49" s="501"/>
      <c r="TH49" s="501"/>
      <c r="TI49" s="501"/>
      <c r="TJ49" s="501"/>
      <c r="TK49" s="501"/>
      <c r="TL49" s="501"/>
      <c r="TM49" s="501"/>
      <c r="TN49" s="501"/>
      <c r="TO49" s="501"/>
      <c r="TP49" s="501"/>
      <c r="TQ49" s="501"/>
      <c r="TR49" s="501"/>
      <c r="TS49" s="501"/>
      <c r="TT49" s="501"/>
      <c r="TU49" s="501"/>
      <c r="TV49" s="501"/>
      <c r="TW49" s="501"/>
      <c r="TX49" s="501"/>
      <c r="TY49" s="501"/>
      <c r="TZ49" s="501"/>
      <c r="UA49" s="501"/>
      <c r="UB49" s="501"/>
      <c r="UC49" s="501"/>
      <c r="UD49" s="501"/>
      <c r="UE49" s="501"/>
      <c r="UF49" s="501"/>
      <c r="UG49" s="501"/>
      <c r="UH49" s="501"/>
      <c r="UI49" s="501"/>
      <c r="UJ49" s="501"/>
      <c r="UK49" s="501"/>
      <c r="UL49" s="501"/>
      <c r="UM49" s="501"/>
      <c r="UN49" s="501"/>
      <c r="UO49" s="501"/>
      <c r="UP49" s="501"/>
      <c r="UQ49" s="501"/>
      <c r="UR49" s="501"/>
      <c r="US49" s="501"/>
      <c r="UT49" s="501"/>
      <c r="UU49" s="501"/>
      <c r="UV49" s="501"/>
      <c r="UW49" s="501"/>
      <c r="UX49" s="501"/>
      <c r="UY49" s="501"/>
      <c r="UZ49" s="501"/>
      <c r="VA49" s="501"/>
      <c r="VB49" s="501"/>
      <c r="VC49" s="501"/>
      <c r="VD49" s="501"/>
      <c r="VE49" s="501"/>
      <c r="VF49" s="501"/>
      <c r="VG49" s="501"/>
      <c r="VH49" s="501"/>
      <c r="VI49" s="501"/>
      <c r="VJ49" s="501"/>
      <c r="VK49" s="501"/>
      <c r="VL49" s="501"/>
      <c r="VM49" s="501"/>
      <c r="VN49" s="501"/>
      <c r="VO49" s="501"/>
      <c r="VP49" s="501"/>
      <c r="VQ49" s="501"/>
      <c r="VR49" s="501"/>
      <c r="VS49" s="501"/>
      <c r="VT49" s="501"/>
      <c r="VU49" s="501"/>
      <c r="VV49" s="501"/>
      <c r="VW49" s="501"/>
      <c r="VX49" s="501"/>
      <c r="VY49" s="501"/>
      <c r="VZ49" s="501"/>
      <c r="WA49" s="501"/>
      <c r="WB49" s="501"/>
      <c r="WC49" s="501"/>
      <c r="WD49" s="501"/>
      <c r="WE49" s="501"/>
      <c r="WF49" s="501"/>
      <c r="WG49" s="501"/>
      <c r="WH49" s="501"/>
      <c r="WI49" s="501"/>
      <c r="WJ49" s="501"/>
      <c r="WK49" s="501"/>
      <c r="WL49" s="501"/>
      <c r="WM49" s="501"/>
      <c r="WN49" s="501"/>
      <c r="WO49" s="501"/>
      <c r="WP49" s="501"/>
      <c r="WQ49" s="501"/>
      <c r="WR49" s="501"/>
      <c r="WS49" s="501"/>
      <c r="WT49" s="501"/>
      <c r="WU49" s="501"/>
      <c r="WV49" s="501"/>
      <c r="WW49" s="501"/>
      <c r="WX49" s="501"/>
      <c r="WY49" s="501"/>
      <c r="WZ49" s="501"/>
      <c r="XA49" s="501"/>
      <c r="XB49" s="501"/>
      <c r="XC49" s="501"/>
      <c r="XD49" s="501"/>
      <c r="XE49" s="501"/>
      <c r="XF49" s="501"/>
      <c r="XG49" s="501"/>
      <c r="XH49" s="501"/>
      <c r="XI49" s="501"/>
      <c r="XJ49" s="501"/>
      <c r="XK49" s="501"/>
      <c r="XL49" s="501"/>
      <c r="XM49" s="501"/>
      <c r="XN49" s="501"/>
      <c r="XO49" s="501"/>
      <c r="XP49" s="501"/>
      <c r="XQ49" s="501"/>
      <c r="XR49" s="501"/>
      <c r="XS49" s="501"/>
      <c r="XT49" s="501"/>
      <c r="XU49" s="501"/>
      <c r="XV49" s="501"/>
      <c r="XW49" s="501"/>
      <c r="XX49" s="501"/>
      <c r="XY49" s="501"/>
      <c r="XZ49" s="501"/>
      <c r="YA49" s="501"/>
      <c r="YB49" s="501"/>
      <c r="YC49" s="501"/>
      <c r="YD49" s="501"/>
      <c r="YE49" s="501"/>
      <c r="YF49" s="501"/>
      <c r="YG49" s="501"/>
      <c r="YH49" s="501"/>
      <c r="YI49" s="501"/>
      <c r="YJ49" s="501"/>
      <c r="YK49" s="501"/>
      <c r="YL49" s="501"/>
      <c r="YM49" s="501"/>
      <c r="YN49" s="501"/>
      <c r="YO49" s="501"/>
      <c r="YP49" s="501"/>
      <c r="YQ49" s="501"/>
      <c r="YR49" s="501"/>
      <c r="YS49" s="501"/>
      <c r="YT49" s="501"/>
      <c r="YU49" s="501"/>
      <c r="YV49" s="501"/>
      <c r="YW49" s="501"/>
      <c r="YX49" s="501"/>
      <c r="YY49" s="501"/>
      <c r="YZ49" s="501"/>
      <c r="ZA49" s="501"/>
      <c r="ZB49" s="501"/>
      <c r="ZC49" s="501"/>
      <c r="ZD49" s="501"/>
      <c r="ZE49" s="501"/>
      <c r="ZF49" s="501"/>
      <c r="ZG49" s="501"/>
      <c r="ZH49" s="501"/>
      <c r="ZI49" s="501"/>
      <c r="ZJ49" s="501"/>
      <c r="ZK49" s="501"/>
      <c r="ZL49" s="501"/>
      <c r="ZM49" s="501"/>
      <c r="ZN49" s="501"/>
      <c r="ZO49" s="501"/>
      <c r="ZP49" s="501"/>
      <c r="ZQ49" s="501"/>
      <c r="ZR49" s="501"/>
      <c r="ZS49" s="501"/>
      <c r="ZT49" s="501"/>
      <c r="ZU49" s="501"/>
      <c r="ZV49" s="501"/>
      <c r="ZW49" s="501"/>
      <c r="ZX49" s="501"/>
      <c r="ZY49" s="501"/>
      <c r="ZZ49" s="501"/>
      <c r="AAA49" s="501"/>
      <c r="AAB49" s="501"/>
      <c r="AAC49" s="501"/>
      <c r="AAD49" s="501"/>
      <c r="AAE49" s="501"/>
      <c r="AAF49" s="501"/>
      <c r="AAG49" s="501"/>
      <c r="AAH49" s="501"/>
      <c r="AAI49" s="501"/>
      <c r="AAJ49" s="501"/>
      <c r="AAK49" s="501"/>
      <c r="AAL49" s="501"/>
      <c r="AAM49" s="501"/>
      <c r="AAN49" s="501"/>
      <c r="AAO49" s="501"/>
      <c r="AAP49" s="501"/>
      <c r="AAQ49" s="501"/>
      <c r="AAR49" s="501"/>
      <c r="AAS49" s="501"/>
      <c r="AAT49" s="501"/>
      <c r="AAU49" s="501"/>
      <c r="AAV49" s="501"/>
      <c r="AAW49" s="501"/>
      <c r="AAX49" s="501"/>
      <c r="AAY49" s="501"/>
      <c r="AAZ49" s="501"/>
      <c r="ABA49" s="501"/>
      <c r="ABB49" s="501"/>
      <c r="ABC49" s="501"/>
      <c r="ABD49" s="501"/>
      <c r="ABE49" s="501"/>
      <c r="ABF49" s="501"/>
      <c r="ABG49" s="501"/>
      <c r="ABH49" s="501"/>
      <c r="ABI49" s="501"/>
      <c r="ABJ49" s="501"/>
      <c r="ABK49" s="501"/>
      <c r="ABL49" s="501"/>
      <c r="ABM49" s="501"/>
      <c r="ABN49" s="501"/>
      <c r="ABO49" s="501"/>
      <c r="ABP49" s="501"/>
      <c r="ABQ49" s="501"/>
      <c r="ABR49" s="501"/>
      <c r="ABS49" s="501"/>
      <c r="ABT49" s="501"/>
      <c r="ABU49" s="501"/>
      <c r="ABV49" s="501"/>
      <c r="ABW49" s="501"/>
      <c r="ABX49" s="501"/>
      <c r="ABY49" s="501"/>
      <c r="ABZ49" s="501"/>
      <c r="ACA49" s="501"/>
      <c r="ACB49" s="501"/>
      <c r="ACC49" s="501"/>
      <c r="ACD49" s="501"/>
      <c r="ACE49" s="501"/>
      <c r="ACF49" s="501"/>
      <c r="ACG49" s="501"/>
      <c r="ACH49" s="501"/>
      <c r="ACI49" s="501"/>
      <c r="ACJ49" s="501"/>
      <c r="ACK49" s="501"/>
      <c r="ACL49" s="501"/>
      <c r="ACM49" s="501"/>
      <c r="ACN49" s="501"/>
      <c r="ACO49" s="501"/>
      <c r="ACP49" s="501"/>
      <c r="ACQ49" s="501"/>
      <c r="ACR49" s="501"/>
      <c r="ACS49" s="501"/>
      <c r="ACT49" s="501"/>
      <c r="ACU49" s="501"/>
      <c r="ACV49" s="501"/>
      <c r="ACW49" s="501"/>
      <c r="ACX49" s="501"/>
      <c r="ACY49" s="501"/>
      <c r="ACZ49" s="501"/>
      <c r="ADA49" s="501"/>
      <c r="ADB49" s="501"/>
      <c r="ADC49" s="501"/>
      <c r="ADD49" s="501"/>
      <c r="ADE49" s="501"/>
      <c r="ADF49" s="501"/>
      <c r="ADG49" s="501"/>
      <c r="ADH49" s="501"/>
      <c r="ADI49" s="501"/>
      <c r="ADJ49" s="501"/>
      <c r="ADK49" s="501"/>
      <c r="ADL49" s="501"/>
      <c r="ADM49" s="501"/>
      <c r="ADN49" s="501"/>
      <c r="ADO49" s="501"/>
      <c r="ADP49" s="501"/>
      <c r="ADQ49" s="501"/>
      <c r="ADR49" s="501"/>
      <c r="ADS49" s="501"/>
      <c r="ADT49" s="501"/>
      <c r="ADU49" s="501"/>
      <c r="ADV49" s="501"/>
      <c r="ADW49" s="501"/>
      <c r="ADX49" s="501"/>
      <c r="ADY49" s="501"/>
      <c r="ADZ49" s="501"/>
      <c r="AEA49" s="501"/>
      <c r="AEB49" s="501"/>
      <c r="AEC49" s="501"/>
      <c r="AED49" s="501"/>
      <c r="AEE49" s="501"/>
      <c r="AEF49" s="501"/>
      <c r="AEG49" s="501"/>
      <c r="AEH49" s="501"/>
      <c r="AEI49" s="501"/>
      <c r="AEJ49" s="501"/>
      <c r="AEK49" s="501"/>
      <c r="AEL49" s="501"/>
      <c r="AEM49" s="501"/>
      <c r="AEN49" s="501"/>
      <c r="AEO49" s="501"/>
      <c r="AEP49" s="501"/>
      <c r="AEQ49" s="501"/>
      <c r="AER49" s="501"/>
      <c r="AES49" s="501"/>
      <c r="AET49" s="501"/>
      <c r="AEU49" s="501"/>
      <c r="AEV49" s="501"/>
      <c r="AEW49" s="501"/>
      <c r="AEX49" s="501"/>
      <c r="AEY49" s="501"/>
      <c r="AEZ49" s="501"/>
      <c r="AFA49" s="501"/>
      <c r="AFB49" s="501"/>
      <c r="AFC49" s="501"/>
      <c r="AFD49" s="501"/>
      <c r="AFE49" s="501"/>
      <c r="AFF49" s="501"/>
      <c r="AFG49" s="501"/>
      <c r="AFH49" s="501"/>
      <c r="AFI49" s="501"/>
      <c r="AFJ49" s="501"/>
      <c r="AFK49" s="501"/>
      <c r="AFL49" s="501"/>
      <c r="AFM49" s="501"/>
      <c r="AFN49" s="501"/>
      <c r="AFO49" s="501"/>
      <c r="AFP49" s="501"/>
      <c r="AFQ49" s="501"/>
      <c r="AFR49" s="501"/>
      <c r="AFS49" s="501"/>
      <c r="AFT49" s="501"/>
      <c r="AFU49" s="501"/>
      <c r="AFV49" s="501"/>
      <c r="AFW49" s="501"/>
      <c r="AFX49" s="501"/>
      <c r="AFY49" s="501"/>
      <c r="AFZ49" s="501"/>
      <c r="AGA49" s="501"/>
      <c r="AGB49" s="501"/>
      <c r="AGC49" s="501"/>
      <c r="AGD49" s="501"/>
      <c r="AGE49" s="501"/>
      <c r="AGF49" s="501"/>
      <c r="AGG49" s="501"/>
      <c r="AGH49" s="501"/>
      <c r="AGI49" s="501"/>
      <c r="AGJ49" s="501"/>
      <c r="AGK49" s="501"/>
      <c r="AGL49" s="501"/>
      <c r="AGM49" s="501"/>
      <c r="AGN49" s="501"/>
      <c r="AGO49" s="501"/>
      <c r="AGP49" s="501"/>
      <c r="AGQ49" s="501"/>
      <c r="AGR49" s="501"/>
      <c r="AGS49" s="501"/>
      <c r="AGT49" s="501"/>
      <c r="AGU49" s="501"/>
      <c r="AGV49" s="501"/>
      <c r="AGW49" s="501"/>
      <c r="AGX49" s="501"/>
      <c r="AGY49" s="501"/>
      <c r="AGZ49" s="501"/>
      <c r="AHA49" s="501"/>
      <c r="AHB49" s="501"/>
      <c r="AHC49" s="501"/>
      <c r="AHD49" s="501"/>
      <c r="AHE49" s="501"/>
      <c r="AHF49" s="501"/>
      <c r="AHG49" s="501"/>
      <c r="AHH49" s="501"/>
      <c r="AHI49" s="501"/>
      <c r="AHJ49" s="501"/>
      <c r="AHK49" s="501"/>
      <c r="AHL49" s="501"/>
      <c r="AHM49" s="501"/>
      <c r="AHN49" s="501"/>
      <c r="AHO49" s="501"/>
      <c r="AHP49" s="501"/>
      <c r="AHQ49" s="501"/>
      <c r="AHR49" s="501"/>
      <c r="AHS49" s="501"/>
      <c r="AHT49" s="501"/>
      <c r="AHU49" s="501"/>
      <c r="AHV49" s="501"/>
      <c r="AHW49" s="501"/>
      <c r="AHX49" s="501"/>
      <c r="AHY49" s="501"/>
      <c r="AHZ49" s="501"/>
      <c r="AIA49" s="501"/>
      <c r="AIB49" s="501"/>
      <c r="AIC49" s="501"/>
      <c r="AID49" s="501"/>
      <c r="AIE49" s="501"/>
      <c r="AIF49" s="501"/>
      <c r="AIG49" s="501"/>
      <c r="AIH49" s="501"/>
      <c r="AII49" s="501"/>
      <c r="AIJ49" s="501"/>
      <c r="AIK49" s="501"/>
      <c r="AIL49" s="501"/>
      <c r="AIM49" s="501"/>
      <c r="AIN49" s="501"/>
      <c r="AIO49" s="501"/>
      <c r="AIP49" s="501"/>
      <c r="AIQ49" s="501"/>
      <c r="AIR49" s="501"/>
      <c r="AIS49" s="501"/>
      <c r="AIT49" s="501"/>
      <c r="AIU49" s="501"/>
      <c r="AIV49" s="501"/>
      <c r="AIW49" s="501"/>
      <c r="AIX49" s="501"/>
      <c r="AIY49" s="501"/>
      <c r="AIZ49" s="501"/>
      <c r="AJA49" s="501"/>
      <c r="AJB49" s="501"/>
      <c r="AJC49" s="501"/>
      <c r="AJD49" s="501"/>
      <c r="AJE49" s="501"/>
      <c r="AJF49" s="501"/>
      <c r="AJG49" s="501"/>
      <c r="AJH49" s="501"/>
      <c r="AJI49" s="501"/>
      <c r="AJJ49" s="501"/>
      <c r="AJK49" s="501"/>
      <c r="AJL49" s="501"/>
      <c r="AJM49" s="501"/>
      <c r="AJN49" s="501"/>
      <c r="AJO49" s="501"/>
      <c r="AJP49" s="501"/>
      <c r="AJQ49" s="501"/>
      <c r="AJR49" s="501"/>
      <c r="AJS49" s="501"/>
      <c r="AJT49" s="501"/>
      <c r="AJU49" s="501"/>
      <c r="AJV49" s="501"/>
      <c r="AJW49" s="501"/>
      <c r="AJX49" s="501"/>
      <c r="AJY49" s="501"/>
      <c r="AJZ49" s="501"/>
      <c r="AKA49" s="501"/>
      <c r="AKB49" s="501"/>
      <c r="AKC49" s="501"/>
      <c r="AKD49" s="501"/>
      <c r="AKE49" s="501"/>
      <c r="AKF49" s="501"/>
      <c r="AKG49" s="501"/>
      <c r="AKH49" s="501"/>
      <c r="AKI49" s="501"/>
      <c r="AKJ49" s="501"/>
      <c r="AKK49" s="501"/>
      <c r="AKL49" s="501"/>
      <c r="AKM49" s="501"/>
      <c r="AKN49" s="501"/>
      <c r="AKO49" s="501"/>
      <c r="AKP49" s="501"/>
      <c r="AKQ49" s="501"/>
      <c r="AKR49" s="501"/>
      <c r="AKS49" s="501"/>
      <c r="AKT49" s="501"/>
      <c r="AKU49" s="501"/>
      <c r="AKV49" s="501"/>
      <c r="AKW49" s="501"/>
      <c r="AKX49" s="501"/>
      <c r="AKY49" s="501"/>
      <c r="AKZ49" s="501"/>
      <c r="ALA49" s="501"/>
      <c r="ALB49" s="501"/>
      <c r="ALC49" s="501"/>
      <c r="ALD49" s="501"/>
      <c r="ALE49" s="501"/>
      <c r="ALF49" s="501"/>
      <c r="ALG49" s="501"/>
      <c r="ALH49" s="501"/>
      <c r="ALI49" s="501"/>
      <c r="ALJ49" s="501"/>
      <c r="ALK49" s="501"/>
      <c r="ALL49" s="501"/>
      <c r="ALM49" s="501"/>
      <c r="ALN49" s="501"/>
      <c r="ALO49" s="501"/>
      <c r="ALP49" s="501"/>
      <c r="ALQ49" s="501"/>
      <c r="ALR49" s="501"/>
      <c r="ALS49" s="501"/>
      <c r="ALT49" s="501"/>
      <c r="ALU49" s="501"/>
      <c r="ALV49" s="501"/>
      <c r="ALW49" s="501"/>
      <c r="ALX49" s="501"/>
      <c r="ALY49" s="501"/>
      <c r="ALZ49" s="501"/>
      <c r="AMA49" s="501"/>
      <c r="AMB49" s="501"/>
      <c r="AMC49" s="501"/>
      <c r="AMD49" s="501"/>
      <c r="AME49" s="501"/>
      <c r="AMF49" s="501"/>
      <c r="AMG49" s="501"/>
      <c r="AMH49" s="501"/>
      <c r="AMI49" s="501"/>
      <c r="AMJ49" s="501"/>
      <c r="AMK49" s="501"/>
      <c r="AML49" s="501"/>
      <c r="AMM49" s="501"/>
      <c r="AMN49" s="501"/>
      <c r="AMO49" s="501"/>
      <c r="AMP49" s="501"/>
      <c r="AMQ49" s="501"/>
      <c r="AMR49" s="501"/>
      <c r="AMS49" s="501"/>
      <c r="AMT49" s="501"/>
      <c r="AMU49" s="501"/>
      <c r="AMV49" s="501"/>
      <c r="AMW49" s="501"/>
      <c r="AMX49" s="501"/>
      <c r="AMY49" s="501"/>
      <c r="AMZ49" s="501"/>
      <c r="ANA49" s="501"/>
      <c r="ANB49" s="501"/>
      <c r="ANC49" s="501"/>
      <c r="AND49" s="501"/>
      <c r="ANE49" s="501"/>
      <c r="ANF49" s="501"/>
      <c r="ANG49" s="501"/>
      <c r="ANH49" s="501"/>
      <c r="ANI49" s="501"/>
      <c r="ANJ49" s="501"/>
      <c r="ANK49" s="501"/>
      <c r="ANL49" s="501"/>
      <c r="ANM49" s="501"/>
      <c r="ANN49" s="501"/>
      <c r="ANO49" s="501"/>
      <c r="ANP49" s="501"/>
      <c r="ANQ49" s="501"/>
      <c r="ANR49" s="501"/>
      <c r="ANS49" s="501"/>
      <c r="ANT49" s="501"/>
      <c r="ANU49" s="501"/>
      <c r="ANV49" s="501"/>
      <c r="ANW49" s="501"/>
      <c r="ANX49" s="501"/>
      <c r="ANY49" s="501"/>
      <c r="ANZ49" s="501"/>
      <c r="AOA49" s="501"/>
      <c r="AOB49" s="501"/>
      <c r="AOC49" s="501"/>
      <c r="AOD49" s="501"/>
      <c r="AOE49" s="501"/>
      <c r="AOF49" s="501"/>
      <c r="AOG49" s="501"/>
      <c r="AOH49" s="501"/>
      <c r="AOI49" s="501"/>
      <c r="AOJ49" s="501"/>
      <c r="AOK49" s="501"/>
      <c r="AOL49" s="501"/>
      <c r="AOM49" s="501"/>
      <c r="AON49" s="501"/>
      <c r="AOO49" s="501"/>
      <c r="AOP49" s="501"/>
      <c r="AOQ49" s="501"/>
      <c r="AOR49" s="501"/>
      <c r="AOS49" s="501"/>
      <c r="AOT49" s="501"/>
      <c r="AOU49" s="501"/>
      <c r="AOV49" s="501"/>
      <c r="AOW49" s="501"/>
      <c r="AOX49" s="501"/>
      <c r="AOY49" s="501"/>
      <c r="AOZ49" s="501"/>
      <c r="APA49" s="501"/>
      <c r="APB49" s="501"/>
      <c r="APC49" s="501"/>
      <c r="APD49" s="501"/>
      <c r="APE49" s="501"/>
      <c r="APF49" s="501"/>
      <c r="APG49" s="501"/>
      <c r="APH49" s="501"/>
      <c r="API49" s="501"/>
      <c r="APJ49" s="501"/>
      <c r="APK49" s="501"/>
      <c r="APL49" s="501"/>
      <c r="APM49" s="501"/>
      <c r="APN49" s="501"/>
      <c r="APO49" s="501"/>
      <c r="APP49" s="501"/>
      <c r="APQ49" s="501"/>
      <c r="APR49" s="501"/>
      <c r="APS49" s="501"/>
      <c r="APT49" s="501"/>
      <c r="APU49" s="501"/>
      <c r="APV49" s="501"/>
      <c r="APW49" s="501"/>
      <c r="APX49" s="501"/>
      <c r="APY49" s="501"/>
      <c r="APZ49" s="501"/>
      <c r="AQA49" s="501"/>
      <c r="AQB49" s="501"/>
      <c r="AQC49" s="501"/>
      <c r="AQD49" s="501"/>
      <c r="AQE49" s="501"/>
      <c r="AQF49" s="501"/>
      <c r="AQG49" s="501"/>
      <c r="AQH49" s="501"/>
      <c r="AQI49" s="501"/>
      <c r="AQJ49" s="501"/>
      <c r="AQK49" s="501"/>
      <c r="AQL49" s="501"/>
      <c r="AQM49" s="501"/>
      <c r="AQN49" s="501"/>
      <c r="AQO49" s="501"/>
      <c r="AQP49" s="501"/>
      <c r="AQQ49" s="501"/>
      <c r="AQR49" s="501"/>
      <c r="AQS49" s="501"/>
      <c r="AQT49" s="501"/>
      <c r="AQU49" s="501"/>
      <c r="AQV49" s="501"/>
      <c r="AQW49" s="501"/>
      <c r="AQX49" s="501"/>
      <c r="AQY49" s="501"/>
      <c r="AQZ49" s="501"/>
      <c r="ARA49" s="501"/>
      <c r="ARB49" s="501"/>
      <c r="ARC49" s="501"/>
      <c r="ARD49" s="501"/>
      <c r="ARE49" s="501"/>
      <c r="ARF49" s="501"/>
      <c r="ARG49" s="501"/>
      <c r="ARH49" s="501"/>
      <c r="ARI49" s="501"/>
      <c r="ARJ49" s="501"/>
      <c r="ARK49" s="501"/>
      <c r="ARL49" s="501"/>
      <c r="ARM49" s="501"/>
      <c r="ARN49" s="501"/>
      <c r="ARO49" s="501"/>
      <c r="ARP49" s="501"/>
      <c r="ARQ49" s="501"/>
      <c r="ARR49" s="501"/>
      <c r="ARS49" s="501"/>
      <c r="ART49" s="501"/>
      <c r="ARU49" s="501"/>
      <c r="ARV49" s="501"/>
      <c r="ARW49" s="501"/>
      <c r="ARX49" s="501"/>
      <c r="ARY49" s="501"/>
      <c r="ARZ49" s="501"/>
      <c r="ASA49" s="501"/>
      <c r="ASB49" s="501"/>
      <c r="ASC49" s="501"/>
      <c r="ASD49" s="501"/>
      <c r="ASE49" s="501"/>
      <c r="ASF49" s="501"/>
      <c r="ASG49" s="501"/>
      <c r="ASH49" s="501"/>
      <c r="ASI49" s="501"/>
      <c r="ASJ49" s="501"/>
      <c r="ASK49" s="501"/>
      <c r="ASL49" s="501"/>
      <c r="ASM49" s="501"/>
      <c r="ASN49" s="501"/>
      <c r="ASO49" s="501"/>
      <c r="ASP49" s="501"/>
      <c r="ASQ49" s="501"/>
      <c r="ASR49" s="501"/>
      <c r="ASS49" s="501"/>
      <c r="AST49" s="501"/>
      <c r="ASU49" s="501"/>
      <c r="ASV49" s="501"/>
      <c r="ASW49" s="501"/>
      <c r="ASX49" s="501"/>
      <c r="ASY49" s="501"/>
      <c r="ASZ49" s="501"/>
      <c r="ATA49" s="501"/>
      <c r="ATB49" s="501"/>
      <c r="ATC49" s="501"/>
      <c r="ATD49" s="501"/>
      <c r="ATE49" s="501"/>
      <c r="ATF49" s="501"/>
      <c r="ATG49" s="501"/>
      <c r="ATH49" s="501"/>
      <c r="ATI49" s="501"/>
      <c r="ATJ49" s="501"/>
      <c r="ATK49" s="501"/>
      <c r="ATL49" s="501"/>
      <c r="ATM49" s="501"/>
      <c r="ATN49" s="501"/>
      <c r="ATO49" s="501"/>
      <c r="ATP49" s="501"/>
      <c r="ATQ49" s="501"/>
      <c r="ATR49" s="501"/>
      <c r="ATS49" s="501"/>
      <c r="ATT49" s="501"/>
      <c r="ATU49" s="501"/>
      <c r="ATV49" s="501"/>
      <c r="ATW49" s="501"/>
      <c r="ATX49" s="501"/>
      <c r="ATY49" s="501"/>
      <c r="ATZ49" s="501"/>
      <c r="AUA49" s="501"/>
      <c r="AUB49" s="501"/>
      <c r="AUC49" s="501"/>
      <c r="AUD49" s="501"/>
      <c r="AUE49" s="501"/>
      <c r="AUF49" s="501"/>
      <c r="AUG49" s="501"/>
      <c r="AUH49" s="501"/>
      <c r="AUI49" s="501"/>
      <c r="AUJ49" s="501"/>
      <c r="AUK49" s="501"/>
      <c r="AUL49" s="501"/>
      <c r="AUM49" s="501"/>
      <c r="AUN49" s="501"/>
      <c r="AUO49" s="501"/>
      <c r="AUP49" s="501"/>
      <c r="AUQ49" s="501"/>
      <c r="AUR49" s="501"/>
      <c r="AUS49" s="501"/>
      <c r="AUT49" s="501"/>
      <c r="AUU49" s="501"/>
      <c r="AUV49" s="501"/>
      <c r="AUW49" s="501"/>
      <c r="AUX49" s="501"/>
      <c r="AUY49" s="501"/>
      <c r="AUZ49" s="501"/>
      <c r="AVA49" s="501"/>
      <c r="AVB49" s="501"/>
      <c r="AVC49" s="501"/>
      <c r="AVD49" s="501"/>
      <c r="AVE49" s="501"/>
      <c r="AVF49" s="501"/>
      <c r="AVG49" s="501"/>
      <c r="AVH49" s="501"/>
      <c r="AVI49" s="501"/>
      <c r="AVJ49" s="501"/>
      <c r="AVK49" s="501"/>
      <c r="AVL49" s="501"/>
      <c r="AVM49" s="501"/>
      <c r="AVN49" s="501"/>
      <c r="AVO49" s="501"/>
      <c r="AVP49" s="501"/>
      <c r="AVQ49" s="501"/>
      <c r="AVR49" s="501"/>
      <c r="AVS49" s="501"/>
      <c r="AVT49" s="501"/>
      <c r="AVU49" s="501"/>
      <c r="AVV49" s="501"/>
      <c r="AVW49" s="501"/>
      <c r="AVX49" s="501"/>
      <c r="AVY49" s="501"/>
      <c r="AVZ49" s="501"/>
      <c r="AWA49" s="501"/>
      <c r="AWB49" s="501"/>
      <c r="AWC49" s="501"/>
      <c r="AWD49" s="501"/>
      <c r="AWE49" s="501"/>
      <c r="AWF49" s="501"/>
      <c r="AWG49" s="501"/>
      <c r="AWH49" s="501"/>
      <c r="AWI49" s="501"/>
      <c r="AWJ49" s="501"/>
      <c r="AWK49" s="501"/>
      <c r="AWL49" s="501"/>
      <c r="AWM49" s="501"/>
      <c r="AWN49" s="501"/>
      <c r="AWO49" s="501"/>
      <c r="AWP49" s="501"/>
      <c r="AWQ49" s="501"/>
      <c r="AWR49" s="501"/>
      <c r="AWS49" s="501"/>
      <c r="AWT49" s="501"/>
      <c r="AWU49" s="501"/>
      <c r="AWV49" s="501"/>
      <c r="AWW49" s="501"/>
      <c r="AWX49" s="501"/>
      <c r="AWY49" s="501"/>
      <c r="AWZ49" s="501"/>
      <c r="AXA49" s="501"/>
      <c r="AXB49" s="501"/>
      <c r="AXC49" s="501"/>
      <c r="AXD49" s="501"/>
      <c r="AXE49" s="501"/>
      <c r="AXF49" s="501"/>
      <c r="AXG49" s="501"/>
      <c r="AXH49" s="501"/>
      <c r="AXI49" s="501"/>
      <c r="AXJ49" s="501"/>
      <c r="AXK49" s="501"/>
      <c r="AXL49" s="501"/>
      <c r="AXM49" s="501"/>
      <c r="AXN49" s="501"/>
      <c r="AXO49" s="501"/>
      <c r="AXP49" s="501"/>
      <c r="AXQ49" s="501"/>
      <c r="AXR49" s="501"/>
      <c r="AXS49" s="501"/>
      <c r="AXT49" s="501"/>
      <c r="AXU49" s="501"/>
      <c r="AXV49" s="501"/>
      <c r="AXW49" s="501"/>
      <c r="AXX49" s="501"/>
      <c r="AXY49" s="501"/>
      <c r="AXZ49" s="501"/>
      <c r="AYA49" s="501"/>
      <c r="AYB49" s="501"/>
      <c r="AYC49" s="501"/>
      <c r="AYD49" s="501"/>
      <c r="AYE49" s="501"/>
      <c r="AYF49" s="501"/>
      <c r="AYG49" s="501"/>
      <c r="AYH49" s="501"/>
      <c r="AYI49" s="501"/>
      <c r="AYJ49" s="501"/>
      <c r="AYK49" s="501"/>
      <c r="AYL49" s="501"/>
      <c r="AYM49" s="501"/>
      <c r="AYN49" s="501"/>
      <c r="AYO49" s="501"/>
      <c r="AYP49" s="501"/>
      <c r="AYQ49" s="501"/>
      <c r="AYR49" s="501"/>
      <c r="AYS49" s="501"/>
      <c r="AYT49" s="501"/>
      <c r="AYU49" s="501"/>
      <c r="AYV49" s="501"/>
      <c r="AYW49" s="501"/>
      <c r="AYX49" s="501"/>
      <c r="AYY49" s="501"/>
      <c r="AYZ49" s="501"/>
      <c r="AZA49" s="501"/>
      <c r="AZB49" s="501"/>
      <c r="AZC49" s="501"/>
      <c r="AZD49" s="501"/>
      <c r="AZE49" s="501"/>
      <c r="AZF49" s="501"/>
      <c r="AZG49" s="501"/>
      <c r="AZH49" s="501"/>
      <c r="AZI49" s="501"/>
      <c r="AZJ49" s="501"/>
      <c r="AZK49" s="501"/>
      <c r="AZL49" s="501"/>
      <c r="AZM49" s="501"/>
      <c r="AZN49" s="501"/>
      <c r="AZO49" s="501"/>
      <c r="AZP49" s="501"/>
      <c r="AZQ49" s="501"/>
      <c r="AZR49" s="501"/>
      <c r="AZS49" s="501"/>
      <c r="AZT49" s="501"/>
      <c r="AZU49" s="501"/>
      <c r="AZV49" s="501"/>
      <c r="AZW49" s="501"/>
      <c r="AZX49" s="501"/>
      <c r="AZY49" s="501"/>
      <c r="AZZ49" s="501"/>
      <c r="BAA49" s="501"/>
      <c r="BAB49" s="501"/>
      <c r="BAC49" s="501"/>
      <c r="BAD49" s="501"/>
      <c r="BAE49" s="501"/>
      <c r="BAF49" s="501"/>
      <c r="BAG49" s="501"/>
      <c r="BAH49" s="501"/>
      <c r="BAI49" s="501"/>
      <c r="BAJ49" s="501"/>
      <c r="BAK49" s="501"/>
      <c r="BAL49" s="501"/>
      <c r="BAM49" s="501"/>
      <c r="BAN49" s="501"/>
      <c r="BAO49" s="501"/>
      <c r="BAP49" s="501"/>
      <c r="BAQ49" s="501"/>
      <c r="BAR49" s="501"/>
      <c r="BAS49" s="501"/>
      <c r="BAT49" s="501"/>
      <c r="BAU49" s="501"/>
      <c r="BAV49" s="501"/>
      <c r="BAW49" s="501"/>
      <c r="BAX49" s="501"/>
      <c r="BAY49" s="501"/>
      <c r="BAZ49" s="501"/>
      <c r="BBA49" s="501"/>
      <c r="BBB49" s="501"/>
      <c r="BBC49" s="501"/>
      <c r="BBD49" s="501"/>
      <c r="BBE49" s="501"/>
      <c r="BBF49" s="501"/>
      <c r="BBG49" s="501"/>
      <c r="BBH49" s="501"/>
      <c r="BBI49" s="501"/>
      <c r="BBJ49" s="501"/>
      <c r="BBK49" s="501"/>
      <c r="BBL49" s="501"/>
      <c r="BBM49" s="501"/>
      <c r="BBN49" s="501"/>
      <c r="BBO49" s="501"/>
      <c r="BBP49" s="501"/>
      <c r="BBQ49" s="501"/>
      <c r="BBR49" s="501"/>
      <c r="BBS49" s="501"/>
      <c r="BBT49" s="501"/>
      <c r="BBU49" s="501"/>
      <c r="BBV49" s="501"/>
      <c r="BBW49" s="501"/>
      <c r="BBX49" s="501"/>
      <c r="BBY49" s="501"/>
      <c r="BBZ49" s="501"/>
      <c r="BCA49" s="501"/>
      <c r="BCB49" s="501"/>
      <c r="BCC49" s="501"/>
      <c r="BCD49" s="501"/>
      <c r="BCE49" s="501"/>
      <c r="BCF49" s="501"/>
      <c r="BCG49" s="501"/>
      <c r="BCH49" s="501"/>
      <c r="BCI49" s="501"/>
      <c r="BCJ49" s="501"/>
      <c r="BCK49" s="501"/>
      <c r="BCL49" s="501"/>
      <c r="BCM49" s="501"/>
      <c r="BCN49" s="501"/>
      <c r="BCO49" s="501"/>
      <c r="BCP49" s="501"/>
      <c r="BCQ49" s="501"/>
      <c r="BCR49" s="501"/>
      <c r="BCS49" s="501"/>
      <c r="BCT49" s="501"/>
      <c r="BCU49" s="501"/>
      <c r="BCV49" s="501"/>
      <c r="BCW49" s="501"/>
      <c r="BCX49" s="501"/>
      <c r="BCY49" s="501"/>
      <c r="BCZ49" s="501"/>
      <c r="BDA49" s="501"/>
      <c r="BDB49" s="501"/>
      <c r="BDC49" s="501"/>
      <c r="BDD49" s="501"/>
      <c r="BDE49" s="501"/>
      <c r="BDF49" s="501"/>
      <c r="BDG49" s="501"/>
      <c r="BDH49" s="501"/>
      <c r="BDI49" s="501"/>
      <c r="BDJ49" s="501"/>
      <c r="BDK49" s="501"/>
      <c r="BDL49" s="501"/>
      <c r="BDM49" s="501"/>
      <c r="BDN49" s="501"/>
      <c r="BDO49" s="501"/>
      <c r="BDP49" s="501"/>
      <c r="BDQ49" s="501"/>
      <c r="BDR49" s="501"/>
      <c r="BDS49" s="501"/>
      <c r="BDT49" s="501"/>
      <c r="BDU49" s="501"/>
      <c r="BDV49" s="501"/>
      <c r="BDW49" s="501"/>
      <c r="BDX49" s="501"/>
      <c r="BDY49" s="501"/>
      <c r="BDZ49" s="501"/>
      <c r="BEA49" s="501"/>
      <c r="BEB49" s="501"/>
      <c r="BEC49" s="501"/>
      <c r="BED49" s="501"/>
      <c r="BEE49" s="501"/>
      <c r="BEF49" s="501"/>
      <c r="BEG49" s="501"/>
      <c r="BEH49" s="501"/>
      <c r="BEI49" s="501"/>
      <c r="BEJ49" s="501"/>
      <c r="BEK49" s="501"/>
      <c r="BEL49" s="501"/>
      <c r="BEM49" s="501"/>
      <c r="BEN49" s="501"/>
      <c r="BEO49" s="501"/>
      <c r="BEP49" s="501"/>
      <c r="BEQ49" s="501"/>
      <c r="BER49" s="501"/>
      <c r="BES49" s="501"/>
      <c r="BET49" s="501"/>
      <c r="BEU49" s="501"/>
      <c r="BEV49" s="501"/>
      <c r="BEW49" s="501"/>
      <c r="BEX49" s="501"/>
      <c r="BEY49" s="501"/>
      <c r="BEZ49" s="501"/>
      <c r="BFA49" s="501"/>
      <c r="BFB49" s="501"/>
      <c r="BFC49" s="501"/>
      <c r="BFD49" s="501"/>
      <c r="BFE49" s="501"/>
      <c r="BFF49" s="501"/>
      <c r="BFG49" s="501"/>
      <c r="BFH49" s="501"/>
      <c r="BFI49" s="501"/>
      <c r="BFJ49" s="501"/>
      <c r="BFK49" s="501"/>
      <c r="BFL49" s="501"/>
      <c r="BFM49" s="501"/>
      <c r="BFN49" s="501"/>
      <c r="BFO49" s="501"/>
      <c r="BFP49" s="501"/>
      <c r="BFQ49" s="501"/>
      <c r="BFR49" s="501"/>
      <c r="BFS49" s="501"/>
      <c r="BFT49" s="501"/>
      <c r="BFU49" s="501"/>
      <c r="BFV49" s="501"/>
      <c r="BFW49" s="501"/>
      <c r="BFX49" s="501"/>
      <c r="BFY49" s="501"/>
      <c r="BFZ49" s="501"/>
      <c r="BGA49" s="501"/>
      <c r="BGB49" s="501"/>
      <c r="BGC49" s="501"/>
      <c r="BGD49" s="501"/>
      <c r="BGE49" s="501"/>
      <c r="BGF49" s="501"/>
      <c r="BGG49" s="501"/>
      <c r="BGH49" s="501"/>
      <c r="BGI49" s="501"/>
      <c r="BGJ49" s="501"/>
      <c r="BGK49" s="501"/>
      <c r="BGL49" s="501"/>
      <c r="BGM49" s="501"/>
      <c r="BGN49" s="501"/>
      <c r="BGO49" s="501"/>
      <c r="BGP49" s="501"/>
      <c r="BGQ49" s="501"/>
      <c r="BGR49" s="501"/>
      <c r="BGS49" s="501"/>
      <c r="BGT49" s="501"/>
      <c r="BGU49" s="501"/>
      <c r="BGV49" s="501"/>
      <c r="BGW49" s="501"/>
      <c r="BGX49" s="501"/>
      <c r="BGY49" s="501"/>
      <c r="BGZ49" s="501"/>
      <c r="BHA49" s="501"/>
      <c r="BHB49" s="501"/>
      <c r="BHC49" s="501"/>
      <c r="BHD49" s="501"/>
      <c r="BHE49" s="501"/>
      <c r="BHF49" s="501"/>
      <c r="BHG49" s="501"/>
      <c r="BHH49" s="501"/>
      <c r="BHI49" s="501"/>
      <c r="BHJ49" s="501"/>
      <c r="BHK49" s="501"/>
      <c r="BHL49" s="501"/>
      <c r="BHM49" s="501"/>
      <c r="BHN49" s="501"/>
      <c r="BHO49" s="501"/>
      <c r="BHP49" s="501"/>
      <c r="BHQ49" s="501"/>
      <c r="BHR49" s="501"/>
      <c r="BHS49" s="501"/>
      <c r="BHT49" s="501"/>
      <c r="BHU49" s="501"/>
      <c r="BHV49" s="501"/>
      <c r="BHW49" s="501"/>
      <c r="BHX49" s="501"/>
      <c r="BHY49" s="501"/>
      <c r="BHZ49" s="501"/>
      <c r="BIA49" s="501"/>
      <c r="BIB49" s="501"/>
      <c r="BIC49" s="501"/>
      <c r="BID49" s="501"/>
      <c r="BIE49" s="501"/>
      <c r="BIF49" s="501"/>
      <c r="BIG49" s="501"/>
      <c r="BIH49" s="501"/>
      <c r="BII49" s="501"/>
      <c r="BIJ49" s="501"/>
      <c r="BIK49" s="501"/>
      <c r="BIL49" s="501"/>
      <c r="BIM49" s="501"/>
      <c r="BIN49" s="501"/>
      <c r="BIO49" s="501"/>
      <c r="BIP49" s="501"/>
      <c r="BIQ49" s="501"/>
      <c r="BIR49" s="501"/>
      <c r="BIS49" s="501"/>
      <c r="BIT49" s="501"/>
      <c r="BIU49" s="501"/>
      <c r="BIV49" s="501"/>
      <c r="BIW49" s="501"/>
      <c r="BIX49" s="501"/>
      <c r="BIY49" s="501"/>
      <c r="BIZ49" s="501"/>
      <c r="BJA49" s="501"/>
      <c r="BJB49" s="501"/>
      <c r="BJC49" s="501"/>
      <c r="BJD49" s="501"/>
      <c r="BJE49" s="501"/>
      <c r="BJF49" s="501"/>
      <c r="BJG49" s="501"/>
      <c r="BJH49" s="501"/>
      <c r="BJI49" s="501"/>
      <c r="BJJ49" s="501"/>
      <c r="BJK49" s="501"/>
      <c r="BJL49" s="501"/>
      <c r="BJM49" s="501"/>
      <c r="BJN49" s="501"/>
      <c r="BJO49" s="501"/>
      <c r="BJP49" s="501"/>
      <c r="BJQ49" s="501"/>
      <c r="BJR49" s="501"/>
      <c r="BJS49" s="501"/>
      <c r="BJT49" s="501"/>
      <c r="BJU49" s="501"/>
      <c r="BJV49" s="501"/>
      <c r="BJW49" s="501"/>
      <c r="BJX49" s="501"/>
      <c r="BJY49" s="501"/>
      <c r="BJZ49" s="501"/>
      <c r="BKA49" s="501"/>
      <c r="BKB49" s="501"/>
      <c r="BKC49" s="501"/>
      <c r="BKD49" s="501"/>
      <c r="BKE49" s="501"/>
      <c r="BKF49" s="501"/>
      <c r="BKG49" s="501"/>
      <c r="BKH49" s="501"/>
      <c r="BKI49" s="501"/>
      <c r="BKJ49" s="501"/>
      <c r="BKK49" s="501"/>
      <c r="BKL49" s="501"/>
      <c r="BKM49" s="501"/>
      <c r="BKN49" s="501"/>
      <c r="BKO49" s="501"/>
      <c r="BKP49" s="501"/>
      <c r="BKQ49" s="501"/>
      <c r="BKR49" s="501"/>
      <c r="BKS49" s="501"/>
      <c r="BKT49" s="501"/>
      <c r="BKU49" s="501"/>
      <c r="BKV49" s="501"/>
      <c r="BKW49" s="501"/>
      <c r="BKX49" s="501"/>
      <c r="BKY49" s="501"/>
      <c r="BKZ49" s="501"/>
      <c r="BLA49" s="501"/>
      <c r="BLB49" s="501"/>
      <c r="BLC49" s="501"/>
      <c r="BLD49" s="501"/>
      <c r="BLE49" s="501"/>
      <c r="BLF49" s="501"/>
      <c r="BLG49" s="501"/>
      <c r="BLH49" s="501"/>
      <c r="BLI49" s="501"/>
      <c r="BLJ49" s="501"/>
      <c r="BLK49" s="501"/>
      <c r="BLL49" s="501"/>
      <c r="BLM49" s="501"/>
      <c r="BLN49" s="501"/>
      <c r="BLO49" s="501"/>
      <c r="BLP49" s="501"/>
      <c r="BLQ49" s="501"/>
      <c r="BLR49" s="501"/>
      <c r="BLS49" s="501"/>
      <c r="BLT49" s="501"/>
      <c r="BLU49" s="501"/>
      <c r="BLV49" s="501"/>
      <c r="BLW49" s="501"/>
      <c r="BLX49" s="501"/>
      <c r="BLY49" s="501"/>
      <c r="BLZ49" s="501"/>
      <c r="BMA49" s="501"/>
      <c r="BMB49" s="501"/>
      <c r="BMC49" s="501"/>
      <c r="BMD49" s="501"/>
      <c r="BME49" s="501"/>
      <c r="BMF49" s="501"/>
      <c r="BMG49" s="501"/>
      <c r="BMH49" s="501"/>
      <c r="BMI49" s="501"/>
      <c r="BMJ49" s="501"/>
      <c r="BMK49" s="501"/>
      <c r="BML49" s="501"/>
      <c r="BMM49" s="501"/>
      <c r="BMN49" s="501"/>
      <c r="BMO49" s="501"/>
      <c r="BMP49" s="501"/>
      <c r="BMQ49" s="501"/>
      <c r="BMR49" s="501"/>
      <c r="BMS49" s="501"/>
      <c r="BMT49" s="501"/>
      <c r="BMU49" s="501"/>
      <c r="BMV49" s="501"/>
      <c r="BMW49" s="501"/>
      <c r="BMX49" s="501"/>
      <c r="BMY49" s="501"/>
      <c r="BMZ49" s="501"/>
      <c r="BNA49" s="501"/>
      <c r="BNB49" s="501"/>
      <c r="BNC49" s="501"/>
      <c r="BND49" s="501"/>
      <c r="BNE49" s="501"/>
      <c r="BNF49" s="501"/>
      <c r="BNG49" s="501"/>
      <c r="BNH49" s="501"/>
      <c r="BNI49" s="501"/>
      <c r="BNJ49" s="501"/>
      <c r="BNK49" s="501"/>
      <c r="BNL49" s="501"/>
      <c r="BNM49" s="501"/>
      <c r="BNN49" s="501"/>
      <c r="BNO49" s="501"/>
      <c r="BNP49" s="501"/>
      <c r="BNQ49" s="501"/>
      <c r="BNR49" s="501"/>
      <c r="BNS49" s="501"/>
      <c r="BNT49" s="501"/>
      <c r="BNU49" s="501"/>
      <c r="BNV49" s="501"/>
      <c r="BNW49" s="501"/>
      <c r="BNX49" s="501"/>
      <c r="BNY49" s="501"/>
      <c r="BNZ49" s="501"/>
      <c r="BOA49" s="501"/>
      <c r="BOB49" s="501"/>
      <c r="BOC49" s="501"/>
      <c r="BOD49" s="501"/>
      <c r="BOE49" s="501"/>
      <c r="BOF49" s="501"/>
      <c r="BOG49" s="501"/>
      <c r="BOH49" s="501"/>
      <c r="BOI49" s="501"/>
      <c r="BOJ49" s="501"/>
      <c r="BOK49" s="501"/>
      <c r="BOL49" s="501"/>
      <c r="BOM49" s="501"/>
      <c r="BON49" s="501"/>
      <c r="BOO49" s="501"/>
      <c r="BOP49" s="501"/>
      <c r="BOQ49" s="501"/>
      <c r="BOR49" s="501"/>
      <c r="BOS49" s="501"/>
      <c r="BOT49" s="501"/>
      <c r="BOU49" s="501"/>
      <c r="BOV49" s="501"/>
      <c r="BOW49" s="501"/>
      <c r="BOX49" s="501"/>
      <c r="BOY49" s="501"/>
      <c r="BOZ49" s="501"/>
      <c r="BPA49" s="501"/>
      <c r="BPB49" s="501"/>
      <c r="BPC49" s="501"/>
      <c r="BPD49" s="501"/>
      <c r="BPE49" s="501"/>
      <c r="BPF49" s="501"/>
      <c r="BPG49" s="501"/>
      <c r="BPH49" s="501"/>
      <c r="BPI49" s="501"/>
      <c r="BPJ49" s="501"/>
      <c r="BPK49" s="501"/>
      <c r="BPL49" s="501"/>
      <c r="BPM49" s="501"/>
      <c r="BPN49" s="501"/>
      <c r="BPO49" s="501"/>
      <c r="BPP49" s="501"/>
      <c r="BPQ49" s="501"/>
      <c r="BPR49" s="501"/>
      <c r="BPS49" s="501"/>
      <c r="BPT49" s="501"/>
      <c r="BPU49" s="501"/>
      <c r="BPV49" s="501"/>
      <c r="BPW49" s="501"/>
      <c r="BPX49" s="501"/>
      <c r="BPY49" s="501"/>
      <c r="BPZ49" s="501"/>
      <c r="BQA49" s="501"/>
      <c r="BQB49" s="501"/>
      <c r="BQC49" s="501"/>
      <c r="BQD49" s="501"/>
      <c r="BQE49" s="501"/>
      <c r="BQF49" s="501"/>
      <c r="BQG49" s="501"/>
      <c r="BQH49" s="501"/>
      <c r="BQI49" s="501"/>
      <c r="BQJ49" s="501"/>
      <c r="BQK49" s="501"/>
      <c r="BQL49" s="501"/>
      <c r="BQM49" s="501"/>
      <c r="BQN49" s="501"/>
      <c r="BQO49" s="501"/>
      <c r="BQP49" s="501"/>
      <c r="BQQ49" s="501"/>
      <c r="BQR49" s="501"/>
      <c r="BQS49" s="501"/>
      <c r="BQT49" s="501"/>
      <c r="BQU49" s="501"/>
      <c r="BQV49" s="501"/>
      <c r="BQW49" s="501"/>
      <c r="BQX49" s="501"/>
      <c r="BQY49" s="501"/>
      <c r="BQZ49" s="501"/>
      <c r="BRA49" s="501"/>
      <c r="BRB49" s="501"/>
      <c r="BRC49" s="501"/>
      <c r="BRD49" s="501"/>
      <c r="BRE49" s="501"/>
      <c r="BRF49" s="501"/>
      <c r="BRG49" s="501"/>
      <c r="BRH49" s="501"/>
      <c r="BRI49" s="501"/>
      <c r="BRJ49" s="501"/>
      <c r="BRK49" s="501"/>
      <c r="BRL49" s="501"/>
      <c r="BRM49" s="501"/>
      <c r="BRN49" s="501"/>
      <c r="BRO49" s="501"/>
      <c r="BRP49" s="501"/>
      <c r="BRQ49" s="501"/>
      <c r="BRR49" s="501"/>
      <c r="BRS49" s="501"/>
      <c r="BRT49" s="501"/>
      <c r="BRU49" s="501"/>
      <c r="BRV49" s="501"/>
      <c r="BRW49" s="501"/>
      <c r="BRX49" s="501"/>
      <c r="BRY49" s="501"/>
      <c r="BRZ49" s="501"/>
      <c r="BSA49" s="501"/>
      <c r="BSB49" s="501"/>
      <c r="BSC49" s="501"/>
    </row>
    <row r="50" spans="1:1849" s="502" customFormat="1" ht="15" x14ac:dyDescent="0.2">
      <c r="A50" s="503">
        <v>49</v>
      </c>
      <c r="B50" s="504" t="s">
        <v>25</v>
      </c>
      <c r="C50" s="685" t="s">
        <v>445</v>
      </c>
      <c r="D50" s="504" t="s">
        <v>26</v>
      </c>
      <c r="E50" s="504" t="s">
        <v>27</v>
      </c>
      <c r="F50" s="505">
        <v>40</v>
      </c>
      <c r="G50" s="505">
        <v>20</v>
      </c>
      <c r="H50" s="505">
        <v>40</v>
      </c>
      <c r="I50" s="505">
        <v>20</v>
      </c>
      <c r="J50" s="504">
        <v>1</v>
      </c>
      <c r="K50" s="504">
        <f t="shared" si="1"/>
        <v>800</v>
      </c>
      <c r="L50" s="504" t="s">
        <v>37</v>
      </c>
      <c r="M50" s="511" t="s">
        <v>353</v>
      </c>
      <c r="N50" s="505">
        <v>21.185835600750298</v>
      </c>
      <c r="O50" s="505">
        <v>79.119638596491697</v>
      </c>
      <c r="P50" s="506">
        <v>40000</v>
      </c>
      <c r="Q50" s="505">
        <v>50000</v>
      </c>
      <c r="R50" s="505">
        <v>100000</v>
      </c>
      <c r="U50" s="595"/>
      <c r="V50" s="595"/>
      <c r="W50" s="501"/>
      <c r="X50" s="501"/>
      <c r="Y50" s="501"/>
      <c r="Z50" s="501"/>
      <c r="AA50" s="501"/>
      <c r="AB50" s="501"/>
      <c r="AC50" s="501"/>
      <c r="AD50" s="501"/>
      <c r="AE50" s="501"/>
      <c r="AF50" s="501"/>
      <c r="AG50" s="501"/>
      <c r="AH50" s="501"/>
      <c r="AI50" s="501"/>
      <c r="AJ50" s="501"/>
      <c r="AK50" s="501"/>
      <c r="AL50" s="501"/>
      <c r="AM50" s="501"/>
      <c r="AN50" s="501"/>
      <c r="AO50" s="501"/>
      <c r="AP50" s="501"/>
      <c r="AQ50" s="501"/>
      <c r="AR50" s="501"/>
      <c r="AS50" s="501"/>
      <c r="AT50" s="501"/>
      <c r="AU50" s="501"/>
      <c r="AV50" s="501"/>
      <c r="AW50" s="501"/>
      <c r="AX50" s="501"/>
      <c r="AY50" s="501"/>
      <c r="AZ50" s="501"/>
      <c r="BA50" s="501"/>
      <c r="BB50" s="501"/>
      <c r="BC50" s="501"/>
      <c r="BD50" s="501"/>
      <c r="BE50" s="501"/>
      <c r="BF50" s="501"/>
      <c r="BG50" s="501"/>
      <c r="BH50" s="501"/>
      <c r="BI50" s="501"/>
      <c r="BJ50" s="501"/>
      <c r="BK50" s="501"/>
      <c r="BL50" s="501"/>
      <c r="BM50" s="501"/>
      <c r="BN50" s="501"/>
      <c r="BO50" s="501"/>
      <c r="BP50" s="501"/>
      <c r="BQ50" s="501"/>
      <c r="BR50" s="501"/>
      <c r="BS50" s="501"/>
      <c r="BT50" s="501"/>
      <c r="BU50" s="501"/>
      <c r="BV50" s="501"/>
      <c r="BW50" s="501"/>
      <c r="BX50" s="501"/>
      <c r="BY50" s="501"/>
      <c r="BZ50" s="501"/>
      <c r="CA50" s="501"/>
      <c r="CB50" s="501"/>
      <c r="CC50" s="501"/>
      <c r="CD50" s="501"/>
      <c r="CE50" s="501"/>
      <c r="CF50" s="501"/>
      <c r="CG50" s="501"/>
      <c r="CH50" s="501"/>
      <c r="CI50" s="501"/>
      <c r="CJ50" s="501"/>
      <c r="CK50" s="501"/>
      <c r="CL50" s="501"/>
      <c r="CM50" s="501"/>
      <c r="CN50" s="501"/>
      <c r="CO50" s="501"/>
      <c r="CP50" s="501"/>
      <c r="CQ50" s="501"/>
      <c r="CR50" s="501"/>
      <c r="CS50" s="501"/>
      <c r="CT50" s="501"/>
      <c r="CU50" s="501"/>
      <c r="CV50" s="501"/>
      <c r="CW50" s="501"/>
      <c r="CX50" s="501"/>
      <c r="CY50" s="501"/>
      <c r="CZ50" s="501"/>
      <c r="DA50" s="501"/>
      <c r="DB50" s="501"/>
      <c r="DC50" s="501"/>
      <c r="DD50" s="501"/>
      <c r="DE50" s="501"/>
      <c r="DF50" s="501"/>
      <c r="DG50" s="501"/>
      <c r="DH50" s="501"/>
      <c r="DI50" s="501"/>
      <c r="DJ50" s="501"/>
      <c r="DK50" s="501"/>
      <c r="DL50" s="501"/>
      <c r="DM50" s="501"/>
      <c r="DN50" s="501"/>
      <c r="DO50" s="501"/>
      <c r="DP50" s="501"/>
      <c r="DQ50" s="501"/>
      <c r="DR50" s="501"/>
      <c r="DS50" s="501"/>
      <c r="DT50" s="501"/>
      <c r="DU50" s="501"/>
      <c r="DV50" s="501"/>
      <c r="DW50" s="501"/>
      <c r="DX50" s="501"/>
      <c r="DY50" s="501"/>
      <c r="DZ50" s="501"/>
      <c r="EA50" s="501"/>
      <c r="EB50" s="501"/>
      <c r="EC50" s="501"/>
      <c r="ED50" s="501"/>
      <c r="EE50" s="501"/>
      <c r="EF50" s="501"/>
      <c r="EG50" s="501"/>
      <c r="EH50" s="501"/>
      <c r="EI50" s="501"/>
      <c r="EJ50" s="501"/>
      <c r="EK50" s="501"/>
      <c r="EL50" s="501"/>
      <c r="EM50" s="501"/>
      <c r="EN50" s="501"/>
      <c r="EO50" s="501"/>
      <c r="EP50" s="501"/>
      <c r="EQ50" s="501"/>
      <c r="ER50" s="501"/>
      <c r="ES50" s="501"/>
      <c r="ET50" s="501"/>
      <c r="EU50" s="501"/>
      <c r="EV50" s="501"/>
      <c r="EW50" s="501"/>
      <c r="EX50" s="501"/>
      <c r="EY50" s="501"/>
      <c r="EZ50" s="501"/>
      <c r="FA50" s="501"/>
      <c r="FB50" s="501"/>
      <c r="FC50" s="501"/>
      <c r="FD50" s="501"/>
      <c r="FE50" s="501"/>
      <c r="FF50" s="501"/>
      <c r="FG50" s="501"/>
      <c r="FH50" s="501"/>
      <c r="FI50" s="501"/>
      <c r="FJ50" s="501"/>
      <c r="FK50" s="501"/>
      <c r="FL50" s="501"/>
      <c r="FM50" s="501"/>
      <c r="FN50" s="501"/>
      <c r="FO50" s="501"/>
      <c r="FP50" s="501"/>
      <c r="FQ50" s="501"/>
      <c r="FR50" s="501"/>
      <c r="FS50" s="501"/>
      <c r="FT50" s="501"/>
      <c r="FU50" s="501"/>
      <c r="FV50" s="501"/>
      <c r="FW50" s="501"/>
      <c r="FX50" s="501"/>
      <c r="FY50" s="501"/>
      <c r="FZ50" s="501"/>
      <c r="GA50" s="501"/>
      <c r="GB50" s="501"/>
      <c r="GC50" s="501"/>
      <c r="GD50" s="501"/>
      <c r="GE50" s="501"/>
      <c r="GF50" s="501"/>
      <c r="GG50" s="501"/>
      <c r="GH50" s="501"/>
      <c r="GI50" s="501"/>
      <c r="GJ50" s="501"/>
      <c r="GK50" s="501"/>
      <c r="GL50" s="501"/>
      <c r="GM50" s="501"/>
      <c r="GN50" s="501"/>
      <c r="GO50" s="501"/>
      <c r="GP50" s="501"/>
      <c r="GQ50" s="501"/>
      <c r="GR50" s="501"/>
      <c r="GS50" s="501"/>
      <c r="GT50" s="501"/>
      <c r="GU50" s="501"/>
      <c r="GV50" s="501"/>
      <c r="GW50" s="501"/>
      <c r="GX50" s="501"/>
      <c r="GY50" s="501"/>
      <c r="GZ50" s="501"/>
      <c r="HA50" s="501"/>
      <c r="HB50" s="501"/>
      <c r="HC50" s="501"/>
      <c r="HD50" s="501"/>
      <c r="HE50" s="501"/>
      <c r="HF50" s="501"/>
      <c r="HG50" s="501"/>
      <c r="HH50" s="501"/>
      <c r="HI50" s="501"/>
      <c r="HJ50" s="501"/>
      <c r="HK50" s="501"/>
      <c r="HL50" s="501"/>
      <c r="HM50" s="501"/>
      <c r="HN50" s="501"/>
      <c r="HO50" s="501"/>
      <c r="HP50" s="501"/>
      <c r="HQ50" s="501"/>
      <c r="HR50" s="501"/>
      <c r="HS50" s="501"/>
      <c r="HT50" s="501"/>
      <c r="HU50" s="501"/>
      <c r="HV50" s="501"/>
      <c r="HW50" s="501"/>
      <c r="HX50" s="501"/>
      <c r="HY50" s="501"/>
      <c r="HZ50" s="501"/>
      <c r="IA50" s="501"/>
      <c r="IB50" s="501"/>
      <c r="IC50" s="501"/>
      <c r="ID50" s="501"/>
      <c r="IE50" s="501"/>
      <c r="IF50" s="501"/>
      <c r="IG50" s="501"/>
      <c r="IH50" s="501"/>
      <c r="II50" s="501"/>
      <c r="IJ50" s="501"/>
      <c r="IK50" s="501"/>
      <c r="IL50" s="501"/>
      <c r="IM50" s="501"/>
      <c r="IN50" s="501"/>
      <c r="IO50" s="501"/>
      <c r="IP50" s="501"/>
      <c r="IQ50" s="501"/>
      <c r="IR50" s="501"/>
      <c r="IS50" s="501"/>
      <c r="IT50" s="501"/>
      <c r="IU50" s="501"/>
      <c r="IV50" s="501"/>
      <c r="IW50" s="501"/>
      <c r="IX50" s="501"/>
      <c r="IY50" s="501"/>
      <c r="IZ50" s="501"/>
      <c r="JA50" s="501"/>
      <c r="JB50" s="501"/>
      <c r="JC50" s="501"/>
      <c r="JD50" s="501"/>
      <c r="JE50" s="501"/>
      <c r="JF50" s="501"/>
      <c r="JG50" s="501"/>
      <c r="JH50" s="501"/>
      <c r="JI50" s="501"/>
      <c r="JJ50" s="501"/>
      <c r="JK50" s="501"/>
      <c r="JL50" s="501"/>
      <c r="JM50" s="501"/>
      <c r="JN50" s="501"/>
      <c r="JO50" s="501"/>
      <c r="JP50" s="501"/>
      <c r="JQ50" s="501"/>
      <c r="JR50" s="501"/>
      <c r="JS50" s="501"/>
      <c r="JT50" s="501"/>
      <c r="JU50" s="501"/>
      <c r="JV50" s="501"/>
      <c r="JW50" s="501"/>
      <c r="JX50" s="501"/>
      <c r="JY50" s="501"/>
      <c r="JZ50" s="501"/>
      <c r="KA50" s="501"/>
      <c r="KB50" s="501"/>
      <c r="KC50" s="501"/>
      <c r="KD50" s="501"/>
      <c r="KE50" s="501"/>
      <c r="KF50" s="501"/>
      <c r="KG50" s="501"/>
      <c r="KH50" s="501"/>
      <c r="KI50" s="501"/>
      <c r="KJ50" s="501"/>
      <c r="KK50" s="501"/>
      <c r="KL50" s="501"/>
      <c r="KM50" s="501"/>
      <c r="KN50" s="501"/>
      <c r="KO50" s="501"/>
      <c r="KP50" s="501"/>
      <c r="KQ50" s="501"/>
      <c r="KR50" s="501"/>
      <c r="KS50" s="501"/>
      <c r="KT50" s="501"/>
      <c r="KU50" s="501"/>
      <c r="KV50" s="501"/>
      <c r="KW50" s="501"/>
      <c r="KX50" s="501"/>
      <c r="KY50" s="501"/>
      <c r="KZ50" s="501"/>
      <c r="LA50" s="501"/>
      <c r="LB50" s="501"/>
      <c r="LC50" s="501"/>
      <c r="LD50" s="501"/>
      <c r="LE50" s="501"/>
      <c r="LF50" s="501"/>
      <c r="LG50" s="501"/>
      <c r="LH50" s="501"/>
      <c r="LI50" s="501"/>
      <c r="LJ50" s="501"/>
      <c r="LK50" s="501"/>
      <c r="LL50" s="501"/>
      <c r="LM50" s="501"/>
      <c r="LN50" s="501"/>
      <c r="LO50" s="501"/>
      <c r="LP50" s="501"/>
      <c r="LQ50" s="501"/>
      <c r="LR50" s="501"/>
      <c r="LS50" s="501"/>
      <c r="LT50" s="501"/>
      <c r="LU50" s="501"/>
      <c r="LV50" s="501"/>
      <c r="LW50" s="501"/>
      <c r="LX50" s="501"/>
      <c r="LY50" s="501"/>
      <c r="LZ50" s="501"/>
      <c r="MA50" s="501"/>
      <c r="MB50" s="501"/>
      <c r="MC50" s="501"/>
      <c r="MD50" s="501"/>
      <c r="ME50" s="501"/>
      <c r="MF50" s="501"/>
      <c r="MG50" s="501"/>
      <c r="MH50" s="501"/>
      <c r="MI50" s="501"/>
      <c r="MJ50" s="501"/>
      <c r="MK50" s="501"/>
      <c r="ML50" s="501"/>
      <c r="MM50" s="501"/>
      <c r="MN50" s="501"/>
      <c r="MO50" s="501"/>
      <c r="MP50" s="501"/>
      <c r="MQ50" s="501"/>
      <c r="MR50" s="501"/>
      <c r="MS50" s="501"/>
      <c r="MT50" s="501"/>
      <c r="MU50" s="501"/>
      <c r="MV50" s="501"/>
      <c r="MW50" s="501"/>
      <c r="MX50" s="501"/>
      <c r="MY50" s="501"/>
      <c r="MZ50" s="501"/>
      <c r="NA50" s="501"/>
      <c r="NB50" s="501"/>
      <c r="NC50" s="501"/>
      <c r="ND50" s="501"/>
      <c r="NE50" s="501"/>
      <c r="NF50" s="501"/>
      <c r="NG50" s="501"/>
      <c r="NH50" s="501"/>
      <c r="NI50" s="501"/>
      <c r="NJ50" s="501"/>
      <c r="NK50" s="501"/>
      <c r="NL50" s="501"/>
      <c r="NM50" s="501"/>
      <c r="NN50" s="501"/>
      <c r="NO50" s="501"/>
      <c r="NP50" s="501"/>
      <c r="NQ50" s="501"/>
      <c r="NR50" s="501"/>
      <c r="NS50" s="501"/>
      <c r="NT50" s="501"/>
      <c r="NU50" s="501"/>
      <c r="NV50" s="501"/>
      <c r="NW50" s="501"/>
      <c r="NX50" s="501"/>
      <c r="NY50" s="501"/>
      <c r="NZ50" s="501"/>
      <c r="OA50" s="501"/>
      <c r="OB50" s="501"/>
      <c r="OC50" s="501"/>
      <c r="OD50" s="501"/>
      <c r="OE50" s="501"/>
      <c r="OF50" s="501"/>
      <c r="OG50" s="501"/>
      <c r="OH50" s="501"/>
      <c r="OI50" s="501"/>
      <c r="OJ50" s="501"/>
      <c r="OK50" s="501"/>
      <c r="OL50" s="501"/>
      <c r="OM50" s="501"/>
      <c r="ON50" s="501"/>
      <c r="OO50" s="501"/>
      <c r="OP50" s="501"/>
      <c r="OQ50" s="501"/>
      <c r="OR50" s="501"/>
      <c r="OS50" s="501"/>
      <c r="OT50" s="501"/>
      <c r="OU50" s="501"/>
      <c r="OV50" s="501"/>
      <c r="OW50" s="501"/>
      <c r="OX50" s="501"/>
      <c r="OY50" s="501"/>
      <c r="OZ50" s="501"/>
      <c r="PA50" s="501"/>
      <c r="PB50" s="501"/>
      <c r="PC50" s="501"/>
      <c r="PD50" s="501"/>
      <c r="PE50" s="501"/>
      <c r="PF50" s="501"/>
      <c r="PG50" s="501"/>
      <c r="PH50" s="501"/>
      <c r="PI50" s="501"/>
      <c r="PJ50" s="501"/>
      <c r="PK50" s="501"/>
      <c r="PL50" s="501"/>
      <c r="PM50" s="501"/>
      <c r="PN50" s="501"/>
      <c r="PO50" s="501"/>
      <c r="PP50" s="501"/>
      <c r="PQ50" s="501"/>
      <c r="PR50" s="501"/>
      <c r="PS50" s="501"/>
      <c r="PT50" s="501"/>
      <c r="PU50" s="501"/>
      <c r="PV50" s="501"/>
      <c r="PW50" s="501"/>
      <c r="PX50" s="501"/>
      <c r="PY50" s="501"/>
      <c r="PZ50" s="501"/>
      <c r="QA50" s="501"/>
      <c r="QB50" s="501"/>
      <c r="QC50" s="501"/>
      <c r="QD50" s="501"/>
      <c r="QE50" s="501"/>
      <c r="QF50" s="501"/>
      <c r="QG50" s="501"/>
      <c r="QH50" s="501"/>
      <c r="QI50" s="501"/>
      <c r="QJ50" s="501"/>
      <c r="QK50" s="501"/>
      <c r="QL50" s="501"/>
      <c r="QM50" s="501"/>
      <c r="QN50" s="501"/>
      <c r="QO50" s="501"/>
      <c r="QP50" s="501"/>
      <c r="QQ50" s="501"/>
      <c r="QR50" s="501"/>
      <c r="QS50" s="501"/>
      <c r="QT50" s="501"/>
      <c r="QU50" s="501"/>
      <c r="QV50" s="501"/>
      <c r="QW50" s="501"/>
      <c r="QX50" s="501"/>
      <c r="QY50" s="501"/>
      <c r="QZ50" s="501"/>
      <c r="RA50" s="501"/>
      <c r="RB50" s="501"/>
      <c r="RC50" s="501"/>
      <c r="RD50" s="501"/>
      <c r="RE50" s="501"/>
      <c r="RF50" s="501"/>
      <c r="RG50" s="501"/>
      <c r="RH50" s="501"/>
      <c r="RI50" s="501"/>
      <c r="RJ50" s="501"/>
      <c r="RK50" s="501"/>
      <c r="RL50" s="501"/>
      <c r="RM50" s="501"/>
      <c r="RN50" s="501"/>
      <c r="RO50" s="501"/>
      <c r="RP50" s="501"/>
      <c r="RQ50" s="501"/>
      <c r="RR50" s="501"/>
      <c r="RS50" s="501"/>
      <c r="RT50" s="501"/>
      <c r="RU50" s="501"/>
      <c r="RV50" s="501"/>
      <c r="RW50" s="501"/>
      <c r="RX50" s="501"/>
      <c r="RY50" s="501"/>
      <c r="RZ50" s="501"/>
      <c r="SA50" s="501"/>
      <c r="SB50" s="501"/>
      <c r="SC50" s="501"/>
      <c r="SD50" s="501"/>
      <c r="SE50" s="501"/>
      <c r="SF50" s="501"/>
      <c r="SG50" s="501"/>
      <c r="SH50" s="501"/>
      <c r="SI50" s="501"/>
      <c r="SJ50" s="501"/>
      <c r="SK50" s="501"/>
      <c r="SL50" s="501"/>
      <c r="SM50" s="501"/>
      <c r="SN50" s="501"/>
      <c r="SO50" s="501"/>
      <c r="SP50" s="501"/>
      <c r="SQ50" s="501"/>
      <c r="SR50" s="501"/>
      <c r="SS50" s="501"/>
      <c r="ST50" s="501"/>
      <c r="SU50" s="501"/>
      <c r="SV50" s="501"/>
      <c r="SW50" s="501"/>
      <c r="SX50" s="501"/>
      <c r="SY50" s="501"/>
      <c r="SZ50" s="501"/>
      <c r="TA50" s="501"/>
      <c r="TB50" s="501"/>
      <c r="TC50" s="501"/>
      <c r="TD50" s="501"/>
      <c r="TE50" s="501"/>
      <c r="TF50" s="501"/>
      <c r="TG50" s="501"/>
      <c r="TH50" s="501"/>
      <c r="TI50" s="501"/>
      <c r="TJ50" s="501"/>
      <c r="TK50" s="501"/>
      <c r="TL50" s="501"/>
      <c r="TM50" s="501"/>
      <c r="TN50" s="501"/>
      <c r="TO50" s="501"/>
      <c r="TP50" s="501"/>
      <c r="TQ50" s="501"/>
      <c r="TR50" s="501"/>
      <c r="TS50" s="501"/>
      <c r="TT50" s="501"/>
      <c r="TU50" s="501"/>
      <c r="TV50" s="501"/>
      <c r="TW50" s="501"/>
      <c r="TX50" s="501"/>
      <c r="TY50" s="501"/>
      <c r="TZ50" s="501"/>
      <c r="UA50" s="501"/>
      <c r="UB50" s="501"/>
      <c r="UC50" s="501"/>
      <c r="UD50" s="501"/>
      <c r="UE50" s="501"/>
      <c r="UF50" s="501"/>
      <c r="UG50" s="501"/>
      <c r="UH50" s="501"/>
      <c r="UI50" s="501"/>
      <c r="UJ50" s="501"/>
      <c r="UK50" s="501"/>
      <c r="UL50" s="501"/>
      <c r="UM50" s="501"/>
      <c r="UN50" s="501"/>
      <c r="UO50" s="501"/>
      <c r="UP50" s="501"/>
      <c r="UQ50" s="501"/>
      <c r="UR50" s="501"/>
      <c r="US50" s="501"/>
      <c r="UT50" s="501"/>
      <c r="UU50" s="501"/>
      <c r="UV50" s="501"/>
      <c r="UW50" s="501"/>
      <c r="UX50" s="501"/>
      <c r="UY50" s="501"/>
      <c r="UZ50" s="501"/>
      <c r="VA50" s="501"/>
      <c r="VB50" s="501"/>
      <c r="VC50" s="501"/>
      <c r="VD50" s="501"/>
      <c r="VE50" s="501"/>
      <c r="VF50" s="501"/>
      <c r="VG50" s="501"/>
      <c r="VH50" s="501"/>
      <c r="VI50" s="501"/>
      <c r="VJ50" s="501"/>
      <c r="VK50" s="501"/>
      <c r="VL50" s="501"/>
      <c r="VM50" s="501"/>
      <c r="VN50" s="501"/>
      <c r="VO50" s="501"/>
      <c r="VP50" s="501"/>
      <c r="VQ50" s="501"/>
      <c r="VR50" s="501"/>
      <c r="VS50" s="501"/>
      <c r="VT50" s="501"/>
      <c r="VU50" s="501"/>
      <c r="VV50" s="501"/>
      <c r="VW50" s="501"/>
      <c r="VX50" s="501"/>
      <c r="VY50" s="501"/>
      <c r="VZ50" s="501"/>
      <c r="WA50" s="501"/>
      <c r="WB50" s="501"/>
      <c r="WC50" s="501"/>
      <c r="WD50" s="501"/>
      <c r="WE50" s="501"/>
      <c r="WF50" s="501"/>
      <c r="WG50" s="501"/>
      <c r="WH50" s="501"/>
      <c r="WI50" s="501"/>
      <c r="WJ50" s="501"/>
      <c r="WK50" s="501"/>
      <c r="WL50" s="501"/>
      <c r="WM50" s="501"/>
      <c r="WN50" s="501"/>
      <c r="WO50" s="501"/>
      <c r="WP50" s="501"/>
      <c r="WQ50" s="501"/>
      <c r="WR50" s="501"/>
      <c r="WS50" s="501"/>
      <c r="WT50" s="501"/>
      <c r="WU50" s="501"/>
      <c r="WV50" s="501"/>
      <c r="WW50" s="501"/>
      <c r="WX50" s="501"/>
      <c r="WY50" s="501"/>
      <c r="WZ50" s="501"/>
      <c r="XA50" s="501"/>
      <c r="XB50" s="501"/>
      <c r="XC50" s="501"/>
      <c r="XD50" s="501"/>
      <c r="XE50" s="501"/>
      <c r="XF50" s="501"/>
      <c r="XG50" s="501"/>
      <c r="XH50" s="501"/>
      <c r="XI50" s="501"/>
      <c r="XJ50" s="501"/>
      <c r="XK50" s="501"/>
      <c r="XL50" s="501"/>
      <c r="XM50" s="501"/>
      <c r="XN50" s="501"/>
      <c r="XO50" s="501"/>
      <c r="XP50" s="501"/>
      <c r="XQ50" s="501"/>
      <c r="XR50" s="501"/>
      <c r="XS50" s="501"/>
      <c r="XT50" s="501"/>
      <c r="XU50" s="501"/>
      <c r="XV50" s="501"/>
      <c r="XW50" s="501"/>
      <c r="XX50" s="501"/>
      <c r="XY50" s="501"/>
      <c r="XZ50" s="501"/>
      <c r="YA50" s="501"/>
      <c r="YB50" s="501"/>
      <c r="YC50" s="501"/>
      <c r="YD50" s="501"/>
      <c r="YE50" s="501"/>
      <c r="YF50" s="501"/>
      <c r="YG50" s="501"/>
      <c r="YH50" s="501"/>
      <c r="YI50" s="501"/>
      <c r="YJ50" s="501"/>
      <c r="YK50" s="501"/>
      <c r="YL50" s="501"/>
      <c r="YM50" s="501"/>
      <c r="YN50" s="501"/>
      <c r="YO50" s="501"/>
      <c r="YP50" s="501"/>
      <c r="YQ50" s="501"/>
      <c r="YR50" s="501"/>
      <c r="YS50" s="501"/>
      <c r="YT50" s="501"/>
      <c r="YU50" s="501"/>
      <c r="YV50" s="501"/>
      <c r="YW50" s="501"/>
      <c r="YX50" s="501"/>
      <c r="YY50" s="501"/>
      <c r="YZ50" s="501"/>
      <c r="ZA50" s="501"/>
      <c r="ZB50" s="501"/>
      <c r="ZC50" s="501"/>
      <c r="ZD50" s="501"/>
      <c r="ZE50" s="501"/>
      <c r="ZF50" s="501"/>
      <c r="ZG50" s="501"/>
      <c r="ZH50" s="501"/>
      <c r="ZI50" s="501"/>
      <c r="ZJ50" s="501"/>
      <c r="ZK50" s="501"/>
      <c r="ZL50" s="501"/>
      <c r="ZM50" s="501"/>
      <c r="ZN50" s="501"/>
      <c r="ZO50" s="501"/>
      <c r="ZP50" s="501"/>
      <c r="ZQ50" s="501"/>
      <c r="ZR50" s="501"/>
      <c r="ZS50" s="501"/>
      <c r="ZT50" s="501"/>
      <c r="ZU50" s="501"/>
      <c r="ZV50" s="501"/>
      <c r="ZW50" s="501"/>
      <c r="ZX50" s="501"/>
      <c r="ZY50" s="501"/>
      <c r="ZZ50" s="501"/>
      <c r="AAA50" s="501"/>
      <c r="AAB50" s="501"/>
      <c r="AAC50" s="501"/>
      <c r="AAD50" s="501"/>
      <c r="AAE50" s="501"/>
      <c r="AAF50" s="501"/>
      <c r="AAG50" s="501"/>
      <c r="AAH50" s="501"/>
      <c r="AAI50" s="501"/>
      <c r="AAJ50" s="501"/>
      <c r="AAK50" s="501"/>
      <c r="AAL50" s="501"/>
      <c r="AAM50" s="501"/>
      <c r="AAN50" s="501"/>
      <c r="AAO50" s="501"/>
      <c r="AAP50" s="501"/>
      <c r="AAQ50" s="501"/>
      <c r="AAR50" s="501"/>
      <c r="AAS50" s="501"/>
      <c r="AAT50" s="501"/>
      <c r="AAU50" s="501"/>
      <c r="AAV50" s="501"/>
      <c r="AAW50" s="501"/>
      <c r="AAX50" s="501"/>
      <c r="AAY50" s="501"/>
      <c r="AAZ50" s="501"/>
      <c r="ABA50" s="501"/>
      <c r="ABB50" s="501"/>
      <c r="ABC50" s="501"/>
      <c r="ABD50" s="501"/>
      <c r="ABE50" s="501"/>
      <c r="ABF50" s="501"/>
      <c r="ABG50" s="501"/>
      <c r="ABH50" s="501"/>
      <c r="ABI50" s="501"/>
      <c r="ABJ50" s="501"/>
      <c r="ABK50" s="501"/>
      <c r="ABL50" s="501"/>
      <c r="ABM50" s="501"/>
      <c r="ABN50" s="501"/>
      <c r="ABO50" s="501"/>
      <c r="ABP50" s="501"/>
      <c r="ABQ50" s="501"/>
      <c r="ABR50" s="501"/>
      <c r="ABS50" s="501"/>
      <c r="ABT50" s="501"/>
      <c r="ABU50" s="501"/>
      <c r="ABV50" s="501"/>
      <c r="ABW50" s="501"/>
      <c r="ABX50" s="501"/>
      <c r="ABY50" s="501"/>
      <c r="ABZ50" s="501"/>
      <c r="ACA50" s="501"/>
      <c r="ACB50" s="501"/>
      <c r="ACC50" s="501"/>
      <c r="ACD50" s="501"/>
      <c r="ACE50" s="501"/>
      <c r="ACF50" s="501"/>
      <c r="ACG50" s="501"/>
      <c r="ACH50" s="501"/>
      <c r="ACI50" s="501"/>
      <c r="ACJ50" s="501"/>
      <c r="ACK50" s="501"/>
      <c r="ACL50" s="501"/>
      <c r="ACM50" s="501"/>
      <c r="ACN50" s="501"/>
      <c r="ACO50" s="501"/>
      <c r="ACP50" s="501"/>
      <c r="ACQ50" s="501"/>
      <c r="ACR50" s="501"/>
      <c r="ACS50" s="501"/>
      <c r="ACT50" s="501"/>
      <c r="ACU50" s="501"/>
      <c r="ACV50" s="501"/>
      <c r="ACW50" s="501"/>
      <c r="ACX50" s="501"/>
      <c r="ACY50" s="501"/>
      <c r="ACZ50" s="501"/>
      <c r="ADA50" s="501"/>
      <c r="ADB50" s="501"/>
      <c r="ADC50" s="501"/>
      <c r="ADD50" s="501"/>
      <c r="ADE50" s="501"/>
      <c r="ADF50" s="501"/>
      <c r="ADG50" s="501"/>
      <c r="ADH50" s="501"/>
      <c r="ADI50" s="501"/>
      <c r="ADJ50" s="501"/>
      <c r="ADK50" s="501"/>
      <c r="ADL50" s="501"/>
      <c r="ADM50" s="501"/>
      <c r="ADN50" s="501"/>
      <c r="ADO50" s="501"/>
      <c r="ADP50" s="501"/>
      <c r="ADQ50" s="501"/>
      <c r="ADR50" s="501"/>
      <c r="ADS50" s="501"/>
      <c r="ADT50" s="501"/>
      <c r="ADU50" s="501"/>
      <c r="ADV50" s="501"/>
      <c r="ADW50" s="501"/>
      <c r="ADX50" s="501"/>
      <c r="ADY50" s="501"/>
      <c r="ADZ50" s="501"/>
      <c r="AEA50" s="501"/>
      <c r="AEB50" s="501"/>
      <c r="AEC50" s="501"/>
      <c r="AED50" s="501"/>
      <c r="AEE50" s="501"/>
      <c r="AEF50" s="501"/>
      <c r="AEG50" s="501"/>
      <c r="AEH50" s="501"/>
      <c r="AEI50" s="501"/>
      <c r="AEJ50" s="501"/>
      <c r="AEK50" s="501"/>
      <c r="AEL50" s="501"/>
      <c r="AEM50" s="501"/>
      <c r="AEN50" s="501"/>
      <c r="AEO50" s="501"/>
      <c r="AEP50" s="501"/>
      <c r="AEQ50" s="501"/>
      <c r="AER50" s="501"/>
      <c r="AES50" s="501"/>
      <c r="AET50" s="501"/>
      <c r="AEU50" s="501"/>
      <c r="AEV50" s="501"/>
      <c r="AEW50" s="501"/>
      <c r="AEX50" s="501"/>
      <c r="AEY50" s="501"/>
      <c r="AEZ50" s="501"/>
      <c r="AFA50" s="501"/>
      <c r="AFB50" s="501"/>
      <c r="AFC50" s="501"/>
      <c r="AFD50" s="501"/>
      <c r="AFE50" s="501"/>
      <c r="AFF50" s="501"/>
      <c r="AFG50" s="501"/>
      <c r="AFH50" s="501"/>
      <c r="AFI50" s="501"/>
      <c r="AFJ50" s="501"/>
      <c r="AFK50" s="501"/>
      <c r="AFL50" s="501"/>
      <c r="AFM50" s="501"/>
      <c r="AFN50" s="501"/>
      <c r="AFO50" s="501"/>
      <c r="AFP50" s="501"/>
      <c r="AFQ50" s="501"/>
      <c r="AFR50" s="501"/>
      <c r="AFS50" s="501"/>
      <c r="AFT50" s="501"/>
      <c r="AFU50" s="501"/>
      <c r="AFV50" s="501"/>
      <c r="AFW50" s="501"/>
      <c r="AFX50" s="501"/>
      <c r="AFY50" s="501"/>
      <c r="AFZ50" s="501"/>
      <c r="AGA50" s="501"/>
      <c r="AGB50" s="501"/>
      <c r="AGC50" s="501"/>
      <c r="AGD50" s="501"/>
      <c r="AGE50" s="501"/>
      <c r="AGF50" s="501"/>
      <c r="AGG50" s="501"/>
      <c r="AGH50" s="501"/>
      <c r="AGI50" s="501"/>
      <c r="AGJ50" s="501"/>
      <c r="AGK50" s="501"/>
      <c r="AGL50" s="501"/>
      <c r="AGM50" s="501"/>
      <c r="AGN50" s="501"/>
      <c r="AGO50" s="501"/>
      <c r="AGP50" s="501"/>
      <c r="AGQ50" s="501"/>
      <c r="AGR50" s="501"/>
      <c r="AGS50" s="501"/>
      <c r="AGT50" s="501"/>
      <c r="AGU50" s="501"/>
      <c r="AGV50" s="501"/>
      <c r="AGW50" s="501"/>
      <c r="AGX50" s="501"/>
      <c r="AGY50" s="501"/>
      <c r="AGZ50" s="501"/>
      <c r="AHA50" s="501"/>
      <c r="AHB50" s="501"/>
      <c r="AHC50" s="501"/>
      <c r="AHD50" s="501"/>
      <c r="AHE50" s="501"/>
      <c r="AHF50" s="501"/>
      <c r="AHG50" s="501"/>
      <c r="AHH50" s="501"/>
      <c r="AHI50" s="501"/>
      <c r="AHJ50" s="501"/>
      <c r="AHK50" s="501"/>
      <c r="AHL50" s="501"/>
      <c r="AHM50" s="501"/>
      <c r="AHN50" s="501"/>
      <c r="AHO50" s="501"/>
      <c r="AHP50" s="501"/>
      <c r="AHQ50" s="501"/>
      <c r="AHR50" s="501"/>
      <c r="AHS50" s="501"/>
      <c r="AHT50" s="501"/>
      <c r="AHU50" s="501"/>
      <c r="AHV50" s="501"/>
      <c r="AHW50" s="501"/>
      <c r="AHX50" s="501"/>
      <c r="AHY50" s="501"/>
      <c r="AHZ50" s="501"/>
      <c r="AIA50" s="501"/>
      <c r="AIB50" s="501"/>
      <c r="AIC50" s="501"/>
      <c r="AID50" s="501"/>
      <c r="AIE50" s="501"/>
      <c r="AIF50" s="501"/>
      <c r="AIG50" s="501"/>
      <c r="AIH50" s="501"/>
      <c r="AII50" s="501"/>
      <c r="AIJ50" s="501"/>
      <c r="AIK50" s="501"/>
      <c r="AIL50" s="501"/>
      <c r="AIM50" s="501"/>
      <c r="AIN50" s="501"/>
      <c r="AIO50" s="501"/>
      <c r="AIP50" s="501"/>
      <c r="AIQ50" s="501"/>
      <c r="AIR50" s="501"/>
      <c r="AIS50" s="501"/>
      <c r="AIT50" s="501"/>
      <c r="AIU50" s="501"/>
      <c r="AIV50" s="501"/>
      <c r="AIW50" s="501"/>
      <c r="AIX50" s="501"/>
      <c r="AIY50" s="501"/>
      <c r="AIZ50" s="501"/>
      <c r="AJA50" s="501"/>
      <c r="AJB50" s="501"/>
      <c r="AJC50" s="501"/>
      <c r="AJD50" s="501"/>
      <c r="AJE50" s="501"/>
      <c r="AJF50" s="501"/>
      <c r="AJG50" s="501"/>
      <c r="AJH50" s="501"/>
      <c r="AJI50" s="501"/>
      <c r="AJJ50" s="501"/>
      <c r="AJK50" s="501"/>
      <c r="AJL50" s="501"/>
      <c r="AJM50" s="501"/>
      <c r="AJN50" s="501"/>
      <c r="AJO50" s="501"/>
      <c r="AJP50" s="501"/>
      <c r="AJQ50" s="501"/>
      <c r="AJR50" s="501"/>
      <c r="AJS50" s="501"/>
      <c r="AJT50" s="501"/>
      <c r="AJU50" s="501"/>
      <c r="AJV50" s="501"/>
      <c r="AJW50" s="501"/>
      <c r="AJX50" s="501"/>
      <c r="AJY50" s="501"/>
      <c r="AJZ50" s="501"/>
      <c r="AKA50" s="501"/>
      <c r="AKB50" s="501"/>
      <c r="AKC50" s="501"/>
      <c r="AKD50" s="501"/>
      <c r="AKE50" s="501"/>
      <c r="AKF50" s="501"/>
      <c r="AKG50" s="501"/>
      <c r="AKH50" s="501"/>
      <c r="AKI50" s="501"/>
      <c r="AKJ50" s="501"/>
      <c r="AKK50" s="501"/>
      <c r="AKL50" s="501"/>
      <c r="AKM50" s="501"/>
      <c r="AKN50" s="501"/>
      <c r="AKO50" s="501"/>
      <c r="AKP50" s="501"/>
      <c r="AKQ50" s="501"/>
      <c r="AKR50" s="501"/>
      <c r="AKS50" s="501"/>
      <c r="AKT50" s="501"/>
      <c r="AKU50" s="501"/>
      <c r="AKV50" s="501"/>
      <c r="AKW50" s="501"/>
      <c r="AKX50" s="501"/>
      <c r="AKY50" s="501"/>
      <c r="AKZ50" s="501"/>
      <c r="ALA50" s="501"/>
      <c r="ALB50" s="501"/>
      <c r="ALC50" s="501"/>
      <c r="ALD50" s="501"/>
      <c r="ALE50" s="501"/>
      <c r="ALF50" s="501"/>
      <c r="ALG50" s="501"/>
      <c r="ALH50" s="501"/>
      <c r="ALI50" s="501"/>
      <c r="ALJ50" s="501"/>
      <c r="ALK50" s="501"/>
      <c r="ALL50" s="501"/>
      <c r="ALM50" s="501"/>
      <c r="ALN50" s="501"/>
      <c r="ALO50" s="501"/>
      <c r="ALP50" s="501"/>
      <c r="ALQ50" s="501"/>
      <c r="ALR50" s="501"/>
      <c r="ALS50" s="501"/>
      <c r="ALT50" s="501"/>
      <c r="ALU50" s="501"/>
      <c r="ALV50" s="501"/>
      <c r="ALW50" s="501"/>
      <c r="ALX50" s="501"/>
      <c r="ALY50" s="501"/>
      <c r="ALZ50" s="501"/>
      <c r="AMA50" s="501"/>
      <c r="AMB50" s="501"/>
      <c r="AMC50" s="501"/>
      <c r="AMD50" s="501"/>
      <c r="AME50" s="501"/>
      <c r="AMF50" s="501"/>
      <c r="AMG50" s="501"/>
      <c r="AMH50" s="501"/>
      <c r="AMI50" s="501"/>
      <c r="AMJ50" s="501"/>
      <c r="AMK50" s="501"/>
      <c r="AML50" s="501"/>
      <c r="AMM50" s="501"/>
      <c r="AMN50" s="501"/>
      <c r="AMO50" s="501"/>
      <c r="AMP50" s="501"/>
      <c r="AMQ50" s="501"/>
      <c r="AMR50" s="501"/>
      <c r="AMS50" s="501"/>
      <c r="AMT50" s="501"/>
      <c r="AMU50" s="501"/>
      <c r="AMV50" s="501"/>
      <c r="AMW50" s="501"/>
      <c r="AMX50" s="501"/>
      <c r="AMY50" s="501"/>
      <c r="AMZ50" s="501"/>
      <c r="ANA50" s="501"/>
      <c r="ANB50" s="501"/>
      <c r="ANC50" s="501"/>
      <c r="AND50" s="501"/>
      <c r="ANE50" s="501"/>
      <c r="ANF50" s="501"/>
      <c r="ANG50" s="501"/>
      <c r="ANH50" s="501"/>
      <c r="ANI50" s="501"/>
      <c r="ANJ50" s="501"/>
      <c r="ANK50" s="501"/>
      <c r="ANL50" s="501"/>
      <c r="ANM50" s="501"/>
      <c r="ANN50" s="501"/>
      <c r="ANO50" s="501"/>
      <c r="ANP50" s="501"/>
      <c r="ANQ50" s="501"/>
      <c r="ANR50" s="501"/>
      <c r="ANS50" s="501"/>
      <c r="ANT50" s="501"/>
      <c r="ANU50" s="501"/>
      <c r="ANV50" s="501"/>
      <c r="ANW50" s="501"/>
      <c r="ANX50" s="501"/>
      <c r="ANY50" s="501"/>
      <c r="ANZ50" s="501"/>
      <c r="AOA50" s="501"/>
      <c r="AOB50" s="501"/>
      <c r="AOC50" s="501"/>
      <c r="AOD50" s="501"/>
      <c r="AOE50" s="501"/>
      <c r="AOF50" s="501"/>
      <c r="AOG50" s="501"/>
      <c r="AOH50" s="501"/>
      <c r="AOI50" s="501"/>
      <c r="AOJ50" s="501"/>
      <c r="AOK50" s="501"/>
      <c r="AOL50" s="501"/>
      <c r="AOM50" s="501"/>
      <c r="AON50" s="501"/>
      <c r="AOO50" s="501"/>
      <c r="AOP50" s="501"/>
      <c r="AOQ50" s="501"/>
      <c r="AOR50" s="501"/>
      <c r="AOS50" s="501"/>
      <c r="AOT50" s="501"/>
      <c r="AOU50" s="501"/>
      <c r="AOV50" s="501"/>
      <c r="AOW50" s="501"/>
      <c r="AOX50" s="501"/>
      <c r="AOY50" s="501"/>
      <c r="AOZ50" s="501"/>
      <c r="APA50" s="501"/>
      <c r="APB50" s="501"/>
      <c r="APC50" s="501"/>
      <c r="APD50" s="501"/>
      <c r="APE50" s="501"/>
      <c r="APF50" s="501"/>
      <c r="APG50" s="501"/>
      <c r="APH50" s="501"/>
      <c r="API50" s="501"/>
      <c r="APJ50" s="501"/>
      <c r="APK50" s="501"/>
      <c r="APL50" s="501"/>
      <c r="APM50" s="501"/>
      <c r="APN50" s="501"/>
      <c r="APO50" s="501"/>
      <c r="APP50" s="501"/>
      <c r="APQ50" s="501"/>
      <c r="APR50" s="501"/>
      <c r="APS50" s="501"/>
      <c r="APT50" s="501"/>
      <c r="APU50" s="501"/>
      <c r="APV50" s="501"/>
      <c r="APW50" s="501"/>
      <c r="APX50" s="501"/>
      <c r="APY50" s="501"/>
      <c r="APZ50" s="501"/>
      <c r="AQA50" s="501"/>
      <c r="AQB50" s="501"/>
      <c r="AQC50" s="501"/>
      <c r="AQD50" s="501"/>
      <c r="AQE50" s="501"/>
      <c r="AQF50" s="501"/>
      <c r="AQG50" s="501"/>
      <c r="AQH50" s="501"/>
      <c r="AQI50" s="501"/>
      <c r="AQJ50" s="501"/>
      <c r="AQK50" s="501"/>
      <c r="AQL50" s="501"/>
      <c r="AQM50" s="501"/>
      <c r="AQN50" s="501"/>
      <c r="AQO50" s="501"/>
      <c r="AQP50" s="501"/>
      <c r="AQQ50" s="501"/>
      <c r="AQR50" s="501"/>
      <c r="AQS50" s="501"/>
      <c r="AQT50" s="501"/>
      <c r="AQU50" s="501"/>
      <c r="AQV50" s="501"/>
      <c r="AQW50" s="501"/>
      <c r="AQX50" s="501"/>
      <c r="AQY50" s="501"/>
      <c r="AQZ50" s="501"/>
      <c r="ARA50" s="501"/>
      <c r="ARB50" s="501"/>
      <c r="ARC50" s="501"/>
      <c r="ARD50" s="501"/>
      <c r="ARE50" s="501"/>
      <c r="ARF50" s="501"/>
      <c r="ARG50" s="501"/>
      <c r="ARH50" s="501"/>
      <c r="ARI50" s="501"/>
      <c r="ARJ50" s="501"/>
      <c r="ARK50" s="501"/>
      <c r="ARL50" s="501"/>
      <c r="ARM50" s="501"/>
      <c r="ARN50" s="501"/>
      <c r="ARO50" s="501"/>
      <c r="ARP50" s="501"/>
      <c r="ARQ50" s="501"/>
      <c r="ARR50" s="501"/>
      <c r="ARS50" s="501"/>
      <c r="ART50" s="501"/>
      <c r="ARU50" s="501"/>
      <c r="ARV50" s="501"/>
      <c r="ARW50" s="501"/>
      <c r="ARX50" s="501"/>
      <c r="ARY50" s="501"/>
      <c r="ARZ50" s="501"/>
      <c r="ASA50" s="501"/>
      <c r="ASB50" s="501"/>
      <c r="ASC50" s="501"/>
      <c r="ASD50" s="501"/>
      <c r="ASE50" s="501"/>
      <c r="ASF50" s="501"/>
      <c r="ASG50" s="501"/>
      <c r="ASH50" s="501"/>
      <c r="ASI50" s="501"/>
      <c r="ASJ50" s="501"/>
      <c r="ASK50" s="501"/>
      <c r="ASL50" s="501"/>
      <c r="ASM50" s="501"/>
      <c r="ASN50" s="501"/>
      <c r="ASO50" s="501"/>
      <c r="ASP50" s="501"/>
      <c r="ASQ50" s="501"/>
      <c r="ASR50" s="501"/>
      <c r="ASS50" s="501"/>
      <c r="AST50" s="501"/>
      <c r="ASU50" s="501"/>
      <c r="ASV50" s="501"/>
      <c r="ASW50" s="501"/>
      <c r="ASX50" s="501"/>
      <c r="ASY50" s="501"/>
      <c r="ASZ50" s="501"/>
      <c r="ATA50" s="501"/>
      <c r="ATB50" s="501"/>
      <c r="ATC50" s="501"/>
      <c r="ATD50" s="501"/>
      <c r="ATE50" s="501"/>
      <c r="ATF50" s="501"/>
      <c r="ATG50" s="501"/>
      <c r="ATH50" s="501"/>
      <c r="ATI50" s="501"/>
      <c r="ATJ50" s="501"/>
      <c r="ATK50" s="501"/>
      <c r="ATL50" s="501"/>
      <c r="ATM50" s="501"/>
      <c r="ATN50" s="501"/>
      <c r="ATO50" s="501"/>
      <c r="ATP50" s="501"/>
      <c r="ATQ50" s="501"/>
      <c r="ATR50" s="501"/>
      <c r="ATS50" s="501"/>
      <c r="ATT50" s="501"/>
      <c r="ATU50" s="501"/>
      <c r="ATV50" s="501"/>
      <c r="ATW50" s="501"/>
      <c r="ATX50" s="501"/>
      <c r="ATY50" s="501"/>
      <c r="ATZ50" s="501"/>
      <c r="AUA50" s="501"/>
      <c r="AUB50" s="501"/>
      <c r="AUC50" s="501"/>
      <c r="AUD50" s="501"/>
      <c r="AUE50" s="501"/>
      <c r="AUF50" s="501"/>
      <c r="AUG50" s="501"/>
      <c r="AUH50" s="501"/>
      <c r="AUI50" s="501"/>
      <c r="AUJ50" s="501"/>
      <c r="AUK50" s="501"/>
      <c r="AUL50" s="501"/>
      <c r="AUM50" s="501"/>
      <c r="AUN50" s="501"/>
      <c r="AUO50" s="501"/>
      <c r="AUP50" s="501"/>
      <c r="AUQ50" s="501"/>
      <c r="AUR50" s="501"/>
      <c r="AUS50" s="501"/>
      <c r="AUT50" s="501"/>
      <c r="AUU50" s="501"/>
      <c r="AUV50" s="501"/>
      <c r="AUW50" s="501"/>
      <c r="AUX50" s="501"/>
      <c r="AUY50" s="501"/>
      <c r="AUZ50" s="501"/>
      <c r="AVA50" s="501"/>
      <c r="AVB50" s="501"/>
      <c r="AVC50" s="501"/>
      <c r="AVD50" s="501"/>
      <c r="AVE50" s="501"/>
      <c r="AVF50" s="501"/>
      <c r="AVG50" s="501"/>
      <c r="AVH50" s="501"/>
      <c r="AVI50" s="501"/>
      <c r="AVJ50" s="501"/>
      <c r="AVK50" s="501"/>
      <c r="AVL50" s="501"/>
      <c r="AVM50" s="501"/>
      <c r="AVN50" s="501"/>
      <c r="AVO50" s="501"/>
      <c r="AVP50" s="501"/>
      <c r="AVQ50" s="501"/>
      <c r="AVR50" s="501"/>
      <c r="AVS50" s="501"/>
      <c r="AVT50" s="501"/>
      <c r="AVU50" s="501"/>
      <c r="AVV50" s="501"/>
      <c r="AVW50" s="501"/>
      <c r="AVX50" s="501"/>
      <c r="AVY50" s="501"/>
      <c r="AVZ50" s="501"/>
      <c r="AWA50" s="501"/>
      <c r="AWB50" s="501"/>
      <c r="AWC50" s="501"/>
      <c r="AWD50" s="501"/>
      <c r="AWE50" s="501"/>
      <c r="AWF50" s="501"/>
      <c r="AWG50" s="501"/>
      <c r="AWH50" s="501"/>
      <c r="AWI50" s="501"/>
      <c r="AWJ50" s="501"/>
      <c r="AWK50" s="501"/>
      <c r="AWL50" s="501"/>
      <c r="AWM50" s="501"/>
      <c r="AWN50" s="501"/>
      <c r="AWO50" s="501"/>
      <c r="AWP50" s="501"/>
      <c r="AWQ50" s="501"/>
      <c r="AWR50" s="501"/>
      <c r="AWS50" s="501"/>
      <c r="AWT50" s="501"/>
      <c r="AWU50" s="501"/>
      <c r="AWV50" s="501"/>
      <c r="AWW50" s="501"/>
      <c r="AWX50" s="501"/>
      <c r="AWY50" s="501"/>
      <c r="AWZ50" s="501"/>
      <c r="AXA50" s="501"/>
      <c r="AXB50" s="501"/>
      <c r="AXC50" s="501"/>
      <c r="AXD50" s="501"/>
      <c r="AXE50" s="501"/>
      <c r="AXF50" s="501"/>
      <c r="AXG50" s="501"/>
      <c r="AXH50" s="501"/>
      <c r="AXI50" s="501"/>
      <c r="AXJ50" s="501"/>
      <c r="AXK50" s="501"/>
      <c r="AXL50" s="501"/>
      <c r="AXM50" s="501"/>
      <c r="AXN50" s="501"/>
      <c r="AXO50" s="501"/>
      <c r="AXP50" s="501"/>
      <c r="AXQ50" s="501"/>
      <c r="AXR50" s="501"/>
      <c r="AXS50" s="501"/>
      <c r="AXT50" s="501"/>
      <c r="AXU50" s="501"/>
      <c r="AXV50" s="501"/>
      <c r="AXW50" s="501"/>
      <c r="AXX50" s="501"/>
      <c r="AXY50" s="501"/>
      <c r="AXZ50" s="501"/>
      <c r="AYA50" s="501"/>
      <c r="AYB50" s="501"/>
      <c r="AYC50" s="501"/>
      <c r="AYD50" s="501"/>
      <c r="AYE50" s="501"/>
      <c r="AYF50" s="501"/>
      <c r="AYG50" s="501"/>
      <c r="AYH50" s="501"/>
      <c r="AYI50" s="501"/>
      <c r="AYJ50" s="501"/>
      <c r="AYK50" s="501"/>
      <c r="AYL50" s="501"/>
      <c r="AYM50" s="501"/>
      <c r="AYN50" s="501"/>
      <c r="AYO50" s="501"/>
      <c r="AYP50" s="501"/>
      <c r="AYQ50" s="501"/>
      <c r="AYR50" s="501"/>
      <c r="AYS50" s="501"/>
      <c r="AYT50" s="501"/>
      <c r="AYU50" s="501"/>
      <c r="AYV50" s="501"/>
      <c r="AYW50" s="501"/>
      <c r="AYX50" s="501"/>
      <c r="AYY50" s="501"/>
      <c r="AYZ50" s="501"/>
      <c r="AZA50" s="501"/>
      <c r="AZB50" s="501"/>
      <c r="AZC50" s="501"/>
      <c r="AZD50" s="501"/>
      <c r="AZE50" s="501"/>
      <c r="AZF50" s="501"/>
      <c r="AZG50" s="501"/>
      <c r="AZH50" s="501"/>
      <c r="AZI50" s="501"/>
      <c r="AZJ50" s="501"/>
      <c r="AZK50" s="501"/>
      <c r="AZL50" s="501"/>
      <c r="AZM50" s="501"/>
      <c r="AZN50" s="501"/>
      <c r="AZO50" s="501"/>
      <c r="AZP50" s="501"/>
      <c r="AZQ50" s="501"/>
      <c r="AZR50" s="501"/>
      <c r="AZS50" s="501"/>
      <c r="AZT50" s="501"/>
      <c r="AZU50" s="501"/>
      <c r="AZV50" s="501"/>
      <c r="AZW50" s="501"/>
      <c r="AZX50" s="501"/>
      <c r="AZY50" s="501"/>
      <c r="AZZ50" s="501"/>
      <c r="BAA50" s="501"/>
      <c r="BAB50" s="501"/>
      <c r="BAC50" s="501"/>
      <c r="BAD50" s="501"/>
      <c r="BAE50" s="501"/>
      <c r="BAF50" s="501"/>
      <c r="BAG50" s="501"/>
      <c r="BAH50" s="501"/>
      <c r="BAI50" s="501"/>
      <c r="BAJ50" s="501"/>
      <c r="BAK50" s="501"/>
      <c r="BAL50" s="501"/>
      <c r="BAM50" s="501"/>
      <c r="BAN50" s="501"/>
      <c r="BAO50" s="501"/>
      <c r="BAP50" s="501"/>
      <c r="BAQ50" s="501"/>
      <c r="BAR50" s="501"/>
      <c r="BAS50" s="501"/>
      <c r="BAT50" s="501"/>
      <c r="BAU50" s="501"/>
      <c r="BAV50" s="501"/>
      <c r="BAW50" s="501"/>
      <c r="BAX50" s="501"/>
      <c r="BAY50" s="501"/>
      <c r="BAZ50" s="501"/>
      <c r="BBA50" s="501"/>
      <c r="BBB50" s="501"/>
      <c r="BBC50" s="501"/>
      <c r="BBD50" s="501"/>
      <c r="BBE50" s="501"/>
      <c r="BBF50" s="501"/>
      <c r="BBG50" s="501"/>
      <c r="BBH50" s="501"/>
      <c r="BBI50" s="501"/>
      <c r="BBJ50" s="501"/>
      <c r="BBK50" s="501"/>
      <c r="BBL50" s="501"/>
      <c r="BBM50" s="501"/>
      <c r="BBN50" s="501"/>
      <c r="BBO50" s="501"/>
      <c r="BBP50" s="501"/>
      <c r="BBQ50" s="501"/>
      <c r="BBR50" s="501"/>
      <c r="BBS50" s="501"/>
      <c r="BBT50" s="501"/>
      <c r="BBU50" s="501"/>
      <c r="BBV50" s="501"/>
      <c r="BBW50" s="501"/>
      <c r="BBX50" s="501"/>
      <c r="BBY50" s="501"/>
      <c r="BBZ50" s="501"/>
      <c r="BCA50" s="501"/>
      <c r="BCB50" s="501"/>
      <c r="BCC50" s="501"/>
      <c r="BCD50" s="501"/>
      <c r="BCE50" s="501"/>
      <c r="BCF50" s="501"/>
      <c r="BCG50" s="501"/>
      <c r="BCH50" s="501"/>
      <c r="BCI50" s="501"/>
      <c r="BCJ50" s="501"/>
      <c r="BCK50" s="501"/>
      <c r="BCL50" s="501"/>
      <c r="BCM50" s="501"/>
      <c r="BCN50" s="501"/>
      <c r="BCO50" s="501"/>
      <c r="BCP50" s="501"/>
      <c r="BCQ50" s="501"/>
      <c r="BCR50" s="501"/>
      <c r="BCS50" s="501"/>
      <c r="BCT50" s="501"/>
      <c r="BCU50" s="501"/>
      <c r="BCV50" s="501"/>
      <c r="BCW50" s="501"/>
      <c r="BCX50" s="501"/>
      <c r="BCY50" s="501"/>
      <c r="BCZ50" s="501"/>
      <c r="BDA50" s="501"/>
      <c r="BDB50" s="501"/>
      <c r="BDC50" s="501"/>
      <c r="BDD50" s="501"/>
      <c r="BDE50" s="501"/>
      <c r="BDF50" s="501"/>
      <c r="BDG50" s="501"/>
      <c r="BDH50" s="501"/>
      <c r="BDI50" s="501"/>
      <c r="BDJ50" s="501"/>
      <c r="BDK50" s="501"/>
      <c r="BDL50" s="501"/>
      <c r="BDM50" s="501"/>
      <c r="BDN50" s="501"/>
      <c r="BDO50" s="501"/>
      <c r="BDP50" s="501"/>
      <c r="BDQ50" s="501"/>
      <c r="BDR50" s="501"/>
      <c r="BDS50" s="501"/>
      <c r="BDT50" s="501"/>
      <c r="BDU50" s="501"/>
      <c r="BDV50" s="501"/>
      <c r="BDW50" s="501"/>
      <c r="BDX50" s="501"/>
      <c r="BDY50" s="501"/>
      <c r="BDZ50" s="501"/>
      <c r="BEA50" s="501"/>
      <c r="BEB50" s="501"/>
      <c r="BEC50" s="501"/>
      <c r="BED50" s="501"/>
      <c r="BEE50" s="501"/>
      <c r="BEF50" s="501"/>
      <c r="BEG50" s="501"/>
      <c r="BEH50" s="501"/>
      <c r="BEI50" s="501"/>
      <c r="BEJ50" s="501"/>
      <c r="BEK50" s="501"/>
      <c r="BEL50" s="501"/>
      <c r="BEM50" s="501"/>
      <c r="BEN50" s="501"/>
      <c r="BEO50" s="501"/>
      <c r="BEP50" s="501"/>
      <c r="BEQ50" s="501"/>
      <c r="BER50" s="501"/>
      <c r="BES50" s="501"/>
      <c r="BET50" s="501"/>
      <c r="BEU50" s="501"/>
      <c r="BEV50" s="501"/>
      <c r="BEW50" s="501"/>
      <c r="BEX50" s="501"/>
      <c r="BEY50" s="501"/>
      <c r="BEZ50" s="501"/>
      <c r="BFA50" s="501"/>
      <c r="BFB50" s="501"/>
      <c r="BFC50" s="501"/>
      <c r="BFD50" s="501"/>
      <c r="BFE50" s="501"/>
      <c r="BFF50" s="501"/>
      <c r="BFG50" s="501"/>
      <c r="BFH50" s="501"/>
      <c r="BFI50" s="501"/>
      <c r="BFJ50" s="501"/>
      <c r="BFK50" s="501"/>
      <c r="BFL50" s="501"/>
      <c r="BFM50" s="501"/>
      <c r="BFN50" s="501"/>
      <c r="BFO50" s="501"/>
      <c r="BFP50" s="501"/>
      <c r="BFQ50" s="501"/>
      <c r="BFR50" s="501"/>
      <c r="BFS50" s="501"/>
      <c r="BFT50" s="501"/>
      <c r="BFU50" s="501"/>
      <c r="BFV50" s="501"/>
      <c r="BFW50" s="501"/>
      <c r="BFX50" s="501"/>
      <c r="BFY50" s="501"/>
      <c r="BFZ50" s="501"/>
      <c r="BGA50" s="501"/>
      <c r="BGB50" s="501"/>
      <c r="BGC50" s="501"/>
      <c r="BGD50" s="501"/>
      <c r="BGE50" s="501"/>
      <c r="BGF50" s="501"/>
      <c r="BGG50" s="501"/>
      <c r="BGH50" s="501"/>
      <c r="BGI50" s="501"/>
      <c r="BGJ50" s="501"/>
      <c r="BGK50" s="501"/>
      <c r="BGL50" s="501"/>
      <c r="BGM50" s="501"/>
      <c r="BGN50" s="501"/>
      <c r="BGO50" s="501"/>
      <c r="BGP50" s="501"/>
      <c r="BGQ50" s="501"/>
      <c r="BGR50" s="501"/>
      <c r="BGS50" s="501"/>
      <c r="BGT50" s="501"/>
      <c r="BGU50" s="501"/>
      <c r="BGV50" s="501"/>
      <c r="BGW50" s="501"/>
      <c r="BGX50" s="501"/>
      <c r="BGY50" s="501"/>
      <c r="BGZ50" s="501"/>
      <c r="BHA50" s="501"/>
      <c r="BHB50" s="501"/>
      <c r="BHC50" s="501"/>
      <c r="BHD50" s="501"/>
      <c r="BHE50" s="501"/>
      <c r="BHF50" s="501"/>
      <c r="BHG50" s="501"/>
      <c r="BHH50" s="501"/>
      <c r="BHI50" s="501"/>
      <c r="BHJ50" s="501"/>
      <c r="BHK50" s="501"/>
      <c r="BHL50" s="501"/>
      <c r="BHM50" s="501"/>
      <c r="BHN50" s="501"/>
      <c r="BHO50" s="501"/>
      <c r="BHP50" s="501"/>
      <c r="BHQ50" s="501"/>
      <c r="BHR50" s="501"/>
      <c r="BHS50" s="501"/>
      <c r="BHT50" s="501"/>
      <c r="BHU50" s="501"/>
      <c r="BHV50" s="501"/>
      <c r="BHW50" s="501"/>
      <c r="BHX50" s="501"/>
      <c r="BHY50" s="501"/>
      <c r="BHZ50" s="501"/>
      <c r="BIA50" s="501"/>
      <c r="BIB50" s="501"/>
      <c r="BIC50" s="501"/>
      <c r="BID50" s="501"/>
      <c r="BIE50" s="501"/>
      <c r="BIF50" s="501"/>
      <c r="BIG50" s="501"/>
      <c r="BIH50" s="501"/>
      <c r="BII50" s="501"/>
      <c r="BIJ50" s="501"/>
      <c r="BIK50" s="501"/>
      <c r="BIL50" s="501"/>
      <c r="BIM50" s="501"/>
      <c r="BIN50" s="501"/>
      <c r="BIO50" s="501"/>
      <c r="BIP50" s="501"/>
      <c r="BIQ50" s="501"/>
      <c r="BIR50" s="501"/>
      <c r="BIS50" s="501"/>
      <c r="BIT50" s="501"/>
      <c r="BIU50" s="501"/>
      <c r="BIV50" s="501"/>
      <c r="BIW50" s="501"/>
      <c r="BIX50" s="501"/>
      <c r="BIY50" s="501"/>
      <c r="BIZ50" s="501"/>
      <c r="BJA50" s="501"/>
      <c r="BJB50" s="501"/>
      <c r="BJC50" s="501"/>
      <c r="BJD50" s="501"/>
      <c r="BJE50" s="501"/>
      <c r="BJF50" s="501"/>
      <c r="BJG50" s="501"/>
      <c r="BJH50" s="501"/>
      <c r="BJI50" s="501"/>
      <c r="BJJ50" s="501"/>
      <c r="BJK50" s="501"/>
      <c r="BJL50" s="501"/>
      <c r="BJM50" s="501"/>
      <c r="BJN50" s="501"/>
      <c r="BJO50" s="501"/>
      <c r="BJP50" s="501"/>
      <c r="BJQ50" s="501"/>
      <c r="BJR50" s="501"/>
      <c r="BJS50" s="501"/>
      <c r="BJT50" s="501"/>
      <c r="BJU50" s="501"/>
      <c r="BJV50" s="501"/>
      <c r="BJW50" s="501"/>
      <c r="BJX50" s="501"/>
      <c r="BJY50" s="501"/>
      <c r="BJZ50" s="501"/>
      <c r="BKA50" s="501"/>
      <c r="BKB50" s="501"/>
      <c r="BKC50" s="501"/>
      <c r="BKD50" s="501"/>
      <c r="BKE50" s="501"/>
      <c r="BKF50" s="501"/>
      <c r="BKG50" s="501"/>
      <c r="BKH50" s="501"/>
      <c r="BKI50" s="501"/>
      <c r="BKJ50" s="501"/>
      <c r="BKK50" s="501"/>
      <c r="BKL50" s="501"/>
      <c r="BKM50" s="501"/>
      <c r="BKN50" s="501"/>
      <c r="BKO50" s="501"/>
      <c r="BKP50" s="501"/>
      <c r="BKQ50" s="501"/>
      <c r="BKR50" s="501"/>
      <c r="BKS50" s="501"/>
      <c r="BKT50" s="501"/>
      <c r="BKU50" s="501"/>
      <c r="BKV50" s="501"/>
      <c r="BKW50" s="501"/>
      <c r="BKX50" s="501"/>
      <c r="BKY50" s="501"/>
      <c r="BKZ50" s="501"/>
      <c r="BLA50" s="501"/>
      <c r="BLB50" s="501"/>
      <c r="BLC50" s="501"/>
      <c r="BLD50" s="501"/>
      <c r="BLE50" s="501"/>
      <c r="BLF50" s="501"/>
      <c r="BLG50" s="501"/>
      <c r="BLH50" s="501"/>
      <c r="BLI50" s="501"/>
      <c r="BLJ50" s="501"/>
      <c r="BLK50" s="501"/>
      <c r="BLL50" s="501"/>
      <c r="BLM50" s="501"/>
      <c r="BLN50" s="501"/>
      <c r="BLO50" s="501"/>
      <c r="BLP50" s="501"/>
      <c r="BLQ50" s="501"/>
      <c r="BLR50" s="501"/>
      <c r="BLS50" s="501"/>
      <c r="BLT50" s="501"/>
      <c r="BLU50" s="501"/>
      <c r="BLV50" s="501"/>
      <c r="BLW50" s="501"/>
      <c r="BLX50" s="501"/>
      <c r="BLY50" s="501"/>
      <c r="BLZ50" s="501"/>
      <c r="BMA50" s="501"/>
      <c r="BMB50" s="501"/>
      <c r="BMC50" s="501"/>
      <c r="BMD50" s="501"/>
      <c r="BME50" s="501"/>
      <c r="BMF50" s="501"/>
      <c r="BMG50" s="501"/>
      <c r="BMH50" s="501"/>
      <c r="BMI50" s="501"/>
      <c r="BMJ50" s="501"/>
      <c r="BMK50" s="501"/>
      <c r="BML50" s="501"/>
      <c r="BMM50" s="501"/>
      <c r="BMN50" s="501"/>
      <c r="BMO50" s="501"/>
      <c r="BMP50" s="501"/>
      <c r="BMQ50" s="501"/>
      <c r="BMR50" s="501"/>
      <c r="BMS50" s="501"/>
      <c r="BMT50" s="501"/>
      <c r="BMU50" s="501"/>
      <c r="BMV50" s="501"/>
      <c r="BMW50" s="501"/>
      <c r="BMX50" s="501"/>
      <c r="BMY50" s="501"/>
      <c r="BMZ50" s="501"/>
      <c r="BNA50" s="501"/>
      <c r="BNB50" s="501"/>
      <c r="BNC50" s="501"/>
      <c r="BND50" s="501"/>
      <c r="BNE50" s="501"/>
      <c r="BNF50" s="501"/>
      <c r="BNG50" s="501"/>
      <c r="BNH50" s="501"/>
      <c r="BNI50" s="501"/>
      <c r="BNJ50" s="501"/>
      <c r="BNK50" s="501"/>
      <c r="BNL50" s="501"/>
      <c r="BNM50" s="501"/>
      <c r="BNN50" s="501"/>
      <c r="BNO50" s="501"/>
      <c r="BNP50" s="501"/>
      <c r="BNQ50" s="501"/>
      <c r="BNR50" s="501"/>
      <c r="BNS50" s="501"/>
      <c r="BNT50" s="501"/>
      <c r="BNU50" s="501"/>
      <c r="BNV50" s="501"/>
      <c r="BNW50" s="501"/>
      <c r="BNX50" s="501"/>
      <c r="BNY50" s="501"/>
      <c r="BNZ50" s="501"/>
      <c r="BOA50" s="501"/>
      <c r="BOB50" s="501"/>
      <c r="BOC50" s="501"/>
      <c r="BOD50" s="501"/>
      <c r="BOE50" s="501"/>
      <c r="BOF50" s="501"/>
      <c r="BOG50" s="501"/>
      <c r="BOH50" s="501"/>
      <c r="BOI50" s="501"/>
      <c r="BOJ50" s="501"/>
      <c r="BOK50" s="501"/>
      <c r="BOL50" s="501"/>
      <c r="BOM50" s="501"/>
      <c r="BON50" s="501"/>
      <c r="BOO50" s="501"/>
      <c r="BOP50" s="501"/>
      <c r="BOQ50" s="501"/>
      <c r="BOR50" s="501"/>
      <c r="BOS50" s="501"/>
      <c r="BOT50" s="501"/>
      <c r="BOU50" s="501"/>
      <c r="BOV50" s="501"/>
      <c r="BOW50" s="501"/>
      <c r="BOX50" s="501"/>
      <c r="BOY50" s="501"/>
      <c r="BOZ50" s="501"/>
      <c r="BPA50" s="501"/>
      <c r="BPB50" s="501"/>
      <c r="BPC50" s="501"/>
      <c r="BPD50" s="501"/>
      <c r="BPE50" s="501"/>
      <c r="BPF50" s="501"/>
      <c r="BPG50" s="501"/>
      <c r="BPH50" s="501"/>
      <c r="BPI50" s="501"/>
      <c r="BPJ50" s="501"/>
      <c r="BPK50" s="501"/>
      <c r="BPL50" s="501"/>
      <c r="BPM50" s="501"/>
      <c r="BPN50" s="501"/>
      <c r="BPO50" s="501"/>
      <c r="BPP50" s="501"/>
      <c r="BPQ50" s="501"/>
      <c r="BPR50" s="501"/>
      <c r="BPS50" s="501"/>
      <c r="BPT50" s="501"/>
      <c r="BPU50" s="501"/>
      <c r="BPV50" s="501"/>
      <c r="BPW50" s="501"/>
      <c r="BPX50" s="501"/>
      <c r="BPY50" s="501"/>
      <c r="BPZ50" s="501"/>
      <c r="BQA50" s="501"/>
      <c r="BQB50" s="501"/>
      <c r="BQC50" s="501"/>
      <c r="BQD50" s="501"/>
      <c r="BQE50" s="501"/>
      <c r="BQF50" s="501"/>
      <c r="BQG50" s="501"/>
      <c r="BQH50" s="501"/>
      <c r="BQI50" s="501"/>
      <c r="BQJ50" s="501"/>
      <c r="BQK50" s="501"/>
      <c r="BQL50" s="501"/>
      <c r="BQM50" s="501"/>
      <c r="BQN50" s="501"/>
      <c r="BQO50" s="501"/>
      <c r="BQP50" s="501"/>
      <c r="BQQ50" s="501"/>
      <c r="BQR50" s="501"/>
      <c r="BQS50" s="501"/>
      <c r="BQT50" s="501"/>
      <c r="BQU50" s="501"/>
      <c r="BQV50" s="501"/>
      <c r="BQW50" s="501"/>
      <c r="BQX50" s="501"/>
      <c r="BQY50" s="501"/>
      <c r="BQZ50" s="501"/>
      <c r="BRA50" s="501"/>
      <c r="BRB50" s="501"/>
      <c r="BRC50" s="501"/>
      <c r="BRD50" s="501"/>
      <c r="BRE50" s="501"/>
      <c r="BRF50" s="501"/>
      <c r="BRG50" s="501"/>
      <c r="BRH50" s="501"/>
      <c r="BRI50" s="501"/>
      <c r="BRJ50" s="501"/>
      <c r="BRK50" s="501"/>
      <c r="BRL50" s="501"/>
      <c r="BRM50" s="501"/>
      <c r="BRN50" s="501"/>
      <c r="BRO50" s="501"/>
      <c r="BRP50" s="501"/>
      <c r="BRQ50" s="501"/>
      <c r="BRR50" s="501"/>
      <c r="BRS50" s="501"/>
      <c r="BRT50" s="501"/>
      <c r="BRU50" s="501"/>
      <c r="BRV50" s="501"/>
      <c r="BRW50" s="501"/>
      <c r="BRX50" s="501"/>
      <c r="BRY50" s="501"/>
      <c r="BRZ50" s="501"/>
      <c r="BSA50" s="501"/>
      <c r="BSB50" s="501"/>
      <c r="BSC50" s="501"/>
    </row>
    <row r="51" spans="1:1849" s="312" customFormat="1" ht="15" x14ac:dyDescent="0.2">
      <c r="A51" s="503">
        <v>50</v>
      </c>
      <c r="B51" s="516" t="s">
        <v>25</v>
      </c>
      <c r="C51" s="548" t="s">
        <v>713</v>
      </c>
      <c r="D51" s="504" t="s">
        <v>26</v>
      </c>
      <c r="E51" s="517" t="s">
        <v>83</v>
      </c>
      <c r="F51" s="515">
        <v>50</v>
      </c>
      <c r="G51" s="515">
        <v>8</v>
      </c>
      <c r="H51" s="515">
        <v>50</v>
      </c>
      <c r="I51" s="515">
        <v>8</v>
      </c>
      <c r="J51" s="504">
        <v>1</v>
      </c>
      <c r="K51" s="504">
        <f t="shared" si="1"/>
        <v>400</v>
      </c>
      <c r="L51" s="504" t="s">
        <v>36</v>
      </c>
      <c r="M51" s="512" t="s">
        <v>257</v>
      </c>
      <c r="N51" s="505">
        <v>21.1108893000352</v>
      </c>
      <c r="O51" s="505">
        <v>79.070067138818303</v>
      </c>
      <c r="P51" s="518">
        <v>55000</v>
      </c>
      <c r="Q51" s="605">
        <v>70000</v>
      </c>
      <c r="R51" s="505">
        <v>90000</v>
      </c>
    </row>
    <row r="52" spans="1:1849" s="312" customFormat="1" ht="15" x14ac:dyDescent="0.2">
      <c r="A52" s="503">
        <v>51</v>
      </c>
      <c r="B52" s="516" t="s">
        <v>25</v>
      </c>
      <c r="C52" s="548" t="s">
        <v>721</v>
      </c>
      <c r="D52" s="505" t="s">
        <v>26</v>
      </c>
      <c r="E52" s="516" t="s">
        <v>83</v>
      </c>
      <c r="F52" s="515">
        <v>50</v>
      </c>
      <c r="G52" s="515">
        <v>8</v>
      </c>
      <c r="H52" s="515">
        <v>50</v>
      </c>
      <c r="I52" s="515">
        <v>8</v>
      </c>
      <c r="J52" s="504">
        <v>1</v>
      </c>
      <c r="K52" s="504">
        <f t="shared" si="1"/>
        <v>400</v>
      </c>
      <c r="L52" s="504" t="s">
        <v>36</v>
      </c>
      <c r="M52" s="512" t="s">
        <v>257</v>
      </c>
      <c r="N52" s="505">
        <v>21.1108893000352</v>
      </c>
      <c r="O52" s="505">
        <v>79.070067138818303</v>
      </c>
      <c r="P52" s="518">
        <v>55000</v>
      </c>
      <c r="Q52" s="605">
        <v>70000</v>
      </c>
      <c r="R52" s="505">
        <v>90000</v>
      </c>
    </row>
    <row r="53" spans="1:1849" s="606" customFormat="1" ht="15" x14ac:dyDescent="0.2">
      <c r="A53" s="503">
        <v>52</v>
      </c>
      <c r="B53" s="516" t="s">
        <v>25</v>
      </c>
      <c r="C53" s="685" t="s">
        <v>870</v>
      </c>
      <c r="D53" s="505" t="s">
        <v>26</v>
      </c>
      <c r="E53" s="546" t="s">
        <v>83</v>
      </c>
      <c r="F53" s="515">
        <v>40</v>
      </c>
      <c r="G53" s="515">
        <v>8</v>
      </c>
      <c r="H53" s="515">
        <v>40</v>
      </c>
      <c r="I53" s="515">
        <v>8</v>
      </c>
      <c r="J53" s="504">
        <v>1</v>
      </c>
      <c r="K53" s="504">
        <f t="shared" si="1"/>
        <v>320</v>
      </c>
      <c r="L53" s="504" t="s">
        <v>36</v>
      </c>
      <c r="M53" s="691" t="s">
        <v>257</v>
      </c>
      <c r="N53" s="505">
        <v>21.1108893000352</v>
      </c>
      <c r="O53" s="505">
        <v>79.070067138818303</v>
      </c>
      <c r="P53" s="518">
        <v>50000</v>
      </c>
      <c r="Q53" s="605">
        <v>60000</v>
      </c>
      <c r="R53" s="505">
        <v>80000</v>
      </c>
    </row>
    <row r="54" spans="1:1849" s="312" customFormat="1" ht="15" x14ac:dyDescent="0.2">
      <c r="A54" s="503">
        <v>53</v>
      </c>
      <c r="B54" s="516" t="s">
        <v>25</v>
      </c>
      <c r="C54" s="548" t="s">
        <v>883</v>
      </c>
      <c r="D54" s="505" t="s">
        <v>26</v>
      </c>
      <c r="E54" s="516" t="s">
        <v>83</v>
      </c>
      <c r="F54" s="515">
        <v>60</v>
      </c>
      <c r="G54" s="515">
        <v>8</v>
      </c>
      <c r="H54" s="515">
        <v>60</v>
      </c>
      <c r="I54" s="515">
        <v>8</v>
      </c>
      <c r="J54" s="504">
        <v>1</v>
      </c>
      <c r="K54" s="504">
        <f t="shared" si="1"/>
        <v>480</v>
      </c>
      <c r="L54" s="504" t="s">
        <v>36</v>
      </c>
      <c r="M54" s="512" t="s">
        <v>257</v>
      </c>
      <c r="N54" s="505">
        <v>21.1108893000352</v>
      </c>
      <c r="O54" s="505">
        <v>79.070067138818303</v>
      </c>
      <c r="P54" s="518">
        <v>60000</v>
      </c>
      <c r="Q54" s="605">
        <v>75000</v>
      </c>
      <c r="R54" s="505">
        <v>115000</v>
      </c>
    </row>
    <row r="55" spans="1:1849" s="312" customFormat="1" ht="15" x14ac:dyDescent="0.2">
      <c r="A55" s="503">
        <v>54</v>
      </c>
      <c r="B55" s="649" t="s">
        <v>25</v>
      </c>
      <c r="C55" s="548" t="s">
        <v>828</v>
      </c>
      <c r="D55" s="170" t="s">
        <v>26</v>
      </c>
      <c r="E55" s="649" t="s">
        <v>83</v>
      </c>
      <c r="F55" s="289">
        <v>40</v>
      </c>
      <c r="G55" s="289">
        <v>8</v>
      </c>
      <c r="H55" s="666"/>
      <c r="I55" s="666"/>
      <c r="J55" s="172">
        <v>1</v>
      </c>
      <c r="K55" s="172">
        <f t="shared" si="1"/>
        <v>320</v>
      </c>
      <c r="L55" s="666" t="s">
        <v>41</v>
      </c>
      <c r="M55" s="672"/>
      <c r="N55" s="669">
        <v>21.15286</v>
      </c>
      <c r="O55" s="669">
        <v>79.094826999999995</v>
      </c>
      <c r="P55" s="673">
        <v>60000</v>
      </c>
      <c r="Q55" s="650">
        <v>80000</v>
      </c>
      <c r="R55" s="170">
        <v>100000</v>
      </c>
    </row>
    <row r="56" spans="1:1849" s="312" customFormat="1" ht="15" x14ac:dyDescent="0.2">
      <c r="A56" s="503">
        <v>55</v>
      </c>
      <c r="B56" s="649" t="s">
        <v>25</v>
      </c>
      <c r="C56" s="548" t="s">
        <v>829</v>
      </c>
      <c r="D56" s="170" t="s">
        <v>26</v>
      </c>
      <c r="E56" s="649" t="s">
        <v>83</v>
      </c>
      <c r="F56" s="289">
        <v>50</v>
      </c>
      <c r="G56" s="289">
        <v>8</v>
      </c>
      <c r="H56" s="666"/>
      <c r="I56" s="666"/>
      <c r="J56" s="172">
        <v>1</v>
      </c>
      <c r="K56" s="172">
        <f t="shared" si="1"/>
        <v>400</v>
      </c>
      <c r="L56" s="666" t="s">
        <v>41</v>
      </c>
      <c r="M56" s="672"/>
      <c r="N56" s="669">
        <v>21.153555999999998</v>
      </c>
      <c r="O56" s="669">
        <v>79.091082999999998</v>
      </c>
      <c r="P56" s="673">
        <v>70000</v>
      </c>
      <c r="Q56" s="650">
        <v>90000</v>
      </c>
      <c r="R56" s="170">
        <v>110000</v>
      </c>
    </row>
    <row r="57" spans="1:1849" s="312" customFormat="1" ht="15" x14ac:dyDescent="0.2">
      <c r="A57" s="503">
        <v>56</v>
      </c>
      <c r="B57" s="649" t="s">
        <v>25</v>
      </c>
      <c r="C57" s="548" t="s">
        <v>887</v>
      </c>
      <c r="D57" s="170" t="s">
        <v>26</v>
      </c>
      <c r="E57" s="675" t="s">
        <v>27</v>
      </c>
      <c r="F57" s="289">
        <v>25</v>
      </c>
      <c r="G57" s="289">
        <v>25</v>
      </c>
      <c r="H57" s="666"/>
      <c r="I57" s="666"/>
      <c r="J57" s="172">
        <v>1</v>
      </c>
      <c r="K57" s="172">
        <f t="shared" si="1"/>
        <v>625</v>
      </c>
      <c r="L57" s="666"/>
      <c r="M57" s="672" t="s">
        <v>888</v>
      </c>
      <c r="N57" s="669">
        <v>21.148099999999999</v>
      </c>
      <c r="O57" s="669">
        <v>79.086799999999997</v>
      </c>
      <c r="P57" s="673">
        <v>110000</v>
      </c>
      <c r="Q57" s="650">
        <v>120000</v>
      </c>
      <c r="R57" s="170">
        <v>150000</v>
      </c>
    </row>
    <row r="58" spans="1:1849" s="532" customFormat="1" ht="15" x14ac:dyDescent="0.2">
      <c r="A58" s="503">
        <v>57</v>
      </c>
      <c r="B58" s="519" t="s">
        <v>25</v>
      </c>
      <c r="C58" s="548" t="s">
        <v>297</v>
      </c>
      <c r="D58" s="505" t="s">
        <v>30</v>
      </c>
      <c r="E58" s="520" t="s">
        <v>27</v>
      </c>
      <c r="F58" s="515">
        <v>40</v>
      </c>
      <c r="G58" s="515">
        <v>20</v>
      </c>
      <c r="H58" s="515"/>
      <c r="I58" s="515"/>
      <c r="J58" s="504">
        <v>1</v>
      </c>
      <c r="K58" s="504">
        <f t="shared" si="1"/>
        <v>800</v>
      </c>
      <c r="L58" s="504" t="s">
        <v>36</v>
      </c>
      <c r="M58" s="514" t="s">
        <v>354</v>
      </c>
      <c r="N58" s="505">
        <v>20.923424000000001</v>
      </c>
      <c r="O58" s="505">
        <v>79.000113999999996</v>
      </c>
      <c r="P58" s="506">
        <v>35000</v>
      </c>
      <c r="Q58" s="505">
        <v>45000</v>
      </c>
      <c r="R58" s="505">
        <v>75000</v>
      </c>
    </row>
    <row r="59" spans="1:1849" s="532" customFormat="1" ht="15" x14ac:dyDescent="0.2">
      <c r="A59" s="503">
        <v>58</v>
      </c>
      <c r="B59" s="519" t="s">
        <v>25</v>
      </c>
      <c r="C59" s="548" t="s">
        <v>298</v>
      </c>
      <c r="D59" s="505" t="s">
        <v>30</v>
      </c>
      <c r="E59" s="520" t="s">
        <v>27</v>
      </c>
      <c r="F59" s="515">
        <v>40</v>
      </c>
      <c r="G59" s="515">
        <v>20</v>
      </c>
      <c r="H59" s="515"/>
      <c r="I59" s="515"/>
      <c r="J59" s="504">
        <v>1</v>
      </c>
      <c r="K59" s="504">
        <f t="shared" si="1"/>
        <v>800</v>
      </c>
      <c r="L59" s="504" t="s">
        <v>36</v>
      </c>
      <c r="M59" s="514" t="s">
        <v>354</v>
      </c>
      <c r="N59" s="505">
        <v>20.923424000000001</v>
      </c>
      <c r="O59" s="505">
        <v>79.000113999999996</v>
      </c>
      <c r="P59" s="506">
        <v>35000</v>
      </c>
      <c r="Q59" s="505">
        <v>45000</v>
      </c>
      <c r="R59" s="505">
        <v>75000</v>
      </c>
    </row>
    <row r="60" spans="1:1849" s="532" customFormat="1" ht="15" x14ac:dyDescent="0.2">
      <c r="A60" s="503">
        <v>59</v>
      </c>
      <c r="B60" s="519" t="s">
        <v>25</v>
      </c>
      <c r="C60" s="651" t="s">
        <v>841</v>
      </c>
      <c r="D60" s="505" t="s">
        <v>30</v>
      </c>
      <c r="E60" s="521" t="s">
        <v>27</v>
      </c>
      <c r="F60" s="522">
        <v>20</v>
      </c>
      <c r="G60" s="522">
        <v>25</v>
      </c>
      <c r="H60" s="522">
        <v>20</v>
      </c>
      <c r="I60" s="522">
        <v>25</v>
      </c>
      <c r="J60" s="504">
        <v>1</v>
      </c>
      <c r="K60" s="504">
        <f t="shared" si="1"/>
        <v>500</v>
      </c>
      <c r="L60" s="504" t="s">
        <v>37</v>
      </c>
      <c r="M60" s="511" t="s">
        <v>307</v>
      </c>
      <c r="N60" s="505">
        <v>21.161480689650801</v>
      </c>
      <c r="O60" s="505">
        <v>79.083715153974694</v>
      </c>
      <c r="P60" s="506">
        <v>35000</v>
      </c>
      <c r="Q60" s="505">
        <v>40000</v>
      </c>
      <c r="R60" s="505">
        <v>70000</v>
      </c>
    </row>
    <row r="61" spans="1:1849" s="532" customFormat="1" ht="15" x14ac:dyDescent="0.2">
      <c r="A61" s="503">
        <v>60</v>
      </c>
      <c r="B61" s="519" t="s">
        <v>25</v>
      </c>
      <c r="C61" s="651" t="s">
        <v>739</v>
      </c>
      <c r="D61" s="505" t="s">
        <v>26</v>
      </c>
      <c r="E61" s="521" t="s">
        <v>27</v>
      </c>
      <c r="F61" s="522">
        <v>30</v>
      </c>
      <c r="G61" s="522">
        <v>20</v>
      </c>
      <c r="H61" s="522"/>
      <c r="I61" s="522"/>
      <c r="J61" s="504">
        <v>1</v>
      </c>
      <c r="K61" s="504">
        <f t="shared" si="1"/>
        <v>600</v>
      </c>
      <c r="L61" s="504" t="s">
        <v>36</v>
      </c>
      <c r="M61" s="511"/>
      <c r="N61" s="505">
        <v>21.071301299999998</v>
      </c>
      <c r="O61" s="505">
        <v>79.059769000000003</v>
      </c>
      <c r="P61" s="506">
        <v>35000</v>
      </c>
      <c r="Q61" s="505">
        <v>45000</v>
      </c>
      <c r="R61" s="505">
        <v>50000</v>
      </c>
    </row>
    <row r="62" spans="1:1849" s="532" customFormat="1" ht="15" x14ac:dyDescent="0.2">
      <c r="A62" s="503">
        <v>61</v>
      </c>
      <c r="B62" s="519" t="s">
        <v>25</v>
      </c>
      <c r="C62" s="651" t="s">
        <v>740</v>
      </c>
      <c r="D62" s="505" t="s">
        <v>26</v>
      </c>
      <c r="E62" s="521" t="s">
        <v>27</v>
      </c>
      <c r="F62" s="522">
        <v>30</v>
      </c>
      <c r="G62" s="522">
        <v>20</v>
      </c>
      <c r="H62" s="522"/>
      <c r="I62" s="522"/>
      <c r="J62" s="504">
        <v>1</v>
      </c>
      <c r="K62" s="504">
        <f t="shared" si="1"/>
        <v>600</v>
      </c>
      <c r="L62" s="504" t="s">
        <v>36</v>
      </c>
      <c r="M62" s="511"/>
      <c r="N62" s="505">
        <v>21.071301299999998</v>
      </c>
      <c r="O62" s="505">
        <v>79.059769000000003</v>
      </c>
      <c r="P62" s="506">
        <v>35000</v>
      </c>
      <c r="Q62" s="505">
        <v>45000</v>
      </c>
      <c r="R62" s="505">
        <v>50000</v>
      </c>
    </row>
    <row r="63" spans="1:1849" s="312" customFormat="1" ht="19.5" customHeight="1" x14ac:dyDescent="0.2">
      <c r="A63" s="503">
        <v>62</v>
      </c>
      <c r="B63" s="649" t="s">
        <v>25</v>
      </c>
      <c r="C63" s="651" t="s">
        <v>897</v>
      </c>
      <c r="D63" s="170" t="s">
        <v>26</v>
      </c>
      <c r="E63" s="652" t="s">
        <v>240</v>
      </c>
      <c r="F63" s="653">
        <v>21</v>
      </c>
      <c r="G63" s="653">
        <v>15</v>
      </c>
      <c r="H63" s="647"/>
      <c r="I63" s="647"/>
      <c r="J63" s="172">
        <v>1</v>
      </c>
      <c r="K63" s="172">
        <f t="shared" si="1"/>
        <v>315</v>
      </c>
      <c r="L63" s="648" t="s">
        <v>36</v>
      </c>
      <c r="M63" s="512" t="s">
        <v>257</v>
      </c>
      <c r="N63" s="505">
        <v>21.0868</v>
      </c>
      <c r="O63" s="505">
        <v>79.063500000000005</v>
      </c>
      <c r="P63" s="518">
        <v>60000</v>
      </c>
      <c r="Q63" s="650">
        <v>70000</v>
      </c>
      <c r="R63" s="170">
        <v>100000</v>
      </c>
    </row>
    <row r="64" spans="1:1849" s="312" customFormat="1" ht="19.5" customHeight="1" x14ac:dyDescent="0.2">
      <c r="A64" s="503">
        <v>63</v>
      </c>
      <c r="B64" s="649" t="s">
        <v>25</v>
      </c>
      <c r="C64" s="651" t="s">
        <v>897</v>
      </c>
      <c r="D64" s="170" t="s">
        <v>26</v>
      </c>
      <c r="E64" s="654" t="s">
        <v>240</v>
      </c>
      <c r="F64" s="653">
        <v>21</v>
      </c>
      <c r="G64" s="653">
        <v>15</v>
      </c>
      <c r="H64" s="647"/>
      <c r="I64" s="647"/>
      <c r="J64" s="172">
        <v>1</v>
      </c>
      <c r="K64" s="172">
        <f t="shared" ref="K64:K70" si="2">F64*G64*J64</f>
        <v>315</v>
      </c>
      <c r="L64" s="648" t="s">
        <v>36</v>
      </c>
      <c r="M64" s="512" t="s">
        <v>257</v>
      </c>
      <c r="N64" s="505">
        <v>21.0868</v>
      </c>
      <c r="O64" s="505">
        <v>79.063500000000005</v>
      </c>
      <c r="P64" s="518">
        <v>60000</v>
      </c>
      <c r="Q64" s="650">
        <v>70000</v>
      </c>
      <c r="R64" s="170">
        <v>100000</v>
      </c>
    </row>
    <row r="65" spans="1:18" s="312" customFormat="1" ht="19.5" customHeight="1" x14ac:dyDescent="0.2">
      <c r="A65" s="503">
        <v>64</v>
      </c>
      <c r="B65" s="649" t="s">
        <v>25</v>
      </c>
      <c r="C65" s="651" t="s">
        <v>897</v>
      </c>
      <c r="D65" s="170" t="s">
        <v>26</v>
      </c>
      <c r="E65" s="652" t="s">
        <v>240</v>
      </c>
      <c r="F65" s="653">
        <v>21</v>
      </c>
      <c r="G65" s="653">
        <v>15</v>
      </c>
      <c r="H65" s="647"/>
      <c r="I65" s="647"/>
      <c r="J65" s="172">
        <v>1</v>
      </c>
      <c r="K65" s="172">
        <f t="shared" si="2"/>
        <v>315</v>
      </c>
      <c r="L65" s="648" t="s">
        <v>36</v>
      </c>
      <c r="M65" s="512" t="s">
        <v>257</v>
      </c>
      <c r="N65" s="505">
        <v>21.0868</v>
      </c>
      <c r="O65" s="505">
        <v>79.063500000000005</v>
      </c>
      <c r="P65" s="518">
        <v>60000</v>
      </c>
      <c r="Q65" s="650">
        <v>70000</v>
      </c>
      <c r="R65" s="170">
        <v>100000</v>
      </c>
    </row>
    <row r="66" spans="1:18" s="312" customFormat="1" ht="19.5" customHeight="1" x14ac:dyDescent="0.2">
      <c r="A66" s="503">
        <v>65</v>
      </c>
      <c r="B66" s="649" t="s">
        <v>25</v>
      </c>
      <c r="C66" s="651" t="s">
        <v>897</v>
      </c>
      <c r="D66" s="170" t="s">
        <v>26</v>
      </c>
      <c r="E66" s="652" t="s">
        <v>240</v>
      </c>
      <c r="F66" s="653">
        <v>21</v>
      </c>
      <c r="G66" s="653">
        <v>15</v>
      </c>
      <c r="H66" s="647"/>
      <c r="I66" s="647"/>
      <c r="J66" s="172">
        <v>1</v>
      </c>
      <c r="K66" s="172">
        <f t="shared" si="2"/>
        <v>315</v>
      </c>
      <c r="L66" s="648" t="s">
        <v>36</v>
      </c>
      <c r="M66" s="512" t="s">
        <v>257</v>
      </c>
      <c r="N66" s="505">
        <v>21.0868</v>
      </c>
      <c r="O66" s="505">
        <v>79.063500000000005</v>
      </c>
      <c r="P66" s="518">
        <v>60000</v>
      </c>
      <c r="Q66" s="650">
        <v>70000</v>
      </c>
      <c r="R66" s="170">
        <v>100000</v>
      </c>
    </row>
    <row r="67" spans="1:18" s="312" customFormat="1" ht="19.5" customHeight="1" x14ac:dyDescent="0.2">
      <c r="A67" s="503">
        <v>66</v>
      </c>
      <c r="B67" s="649" t="s">
        <v>25</v>
      </c>
      <c r="C67" s="651" t="s">
        <v>897</v>
      </c>
      <c r="D67" s="170" t="s">
        <v>26</v>
      </c>
      <c r="E67" s="652" t="s">
        <v>240</v>
      </c>
      <c r="F67" s="653">
        <v>21</v>
      </c>
      <c r="G67" s="653">
        <v>15</v>
      </c>
      <c r="H67" s="647"/>
      <c r="I67" s="647"/>
      <c r="J67" s="172">
        <v>1</v>
      </c>
      <c r="K67" s="172">
        <f t="shared" si="2"/>
        <v>315</v>
      </c>
      <c r="L67" s="648" t="s">
        <v>36</v>
      </c>
      <c r="M67" s="512" t="s">
        <v>257</v>
      </c>
      <c r="N67" s="505">
        <v>21.0868</v>
      </c>
      <c r="O67" s="505">
        <v>79.063500000000005</v>
      </c>
      <c r="P67" s="518">
        <v>60000</v>
      </c>
      <c r="Q67" s="650">
        <v>70000</v>
      </c>
      <c r="R67" s="170">
        <v>100000</v>
      </c>
    </row>
    <row r="68" spans="1:18" s="312" customFormat="1" ht="19.5" customHeight="1" x14ac:dyDescent="0.2">
      <c r="A68" s="503">
        <v>67</v>
      </c>
      <c r="B68" s="649" t="s">
        <v>25</v>
      </c>
      <c r="C68" s="651" t="s">
        <v>897</v>
      </c>
      <c r="D68" s="170" t="s">
        <v>26</v>
      </c>
      <c r="E68" s="652" t="s">
        <v>240</v>
      </c>
      <c r="F68" s="653">
        <v>21</v>
      </c>
      <c r="G68" s="653">
        <v>15</v>
      </c>
      <c r="H68" s="647"/>
      <c r="I68" s="647"/>
      <c r="J68" s="172">
        <v>1</v>
      </c>
      <c r="K68" s="172">
        <f t="shared" si="2"/>
        <v>315</v>
      </c>
      <c r="L68" s="648" t="s">
        <v>36</v>
      </c>
      <c r="M68" s="512" t="s">
        <v>257</v>
      </c>
      <c r="N68" s="505">
        <v>21.0868</v>
      </c>
      <c r="O68" s="505">
        <v>79.063500000000005</v>
      </c>
      <c r="P68" s="518">
        <v>60000</v>
      </c>
      <c r="Q68" s="650">
        <v>70000</v>
      </c>
      <c r="R68" s="170">
        <v>100000</v>
      </c>
    </row>
    <row r="69" spans="1:18" s="312" customFormat="1" ht="19.5" customHeight="1" x14ac:dyDescent="0.2">
      <c r="A69" s="503">
        <v>68</v>
      </c>
      <c r="B69" s="649" t="s">
        <v>25</v>
      </c>
      <c r="C69" s="651" t="s">
        <v>897</v>
      </c>
      <c r="D69" s="170" t="s">
        <v>26</v>
      </c>
      <c r="E69" s="652" t="s">
        <v>240</v>
      </c>
      <c r="F69" s="653">
        <v>21</v>
      </c>
      <c r="G69" s="653">
        <v>15</v>
      </c>
      <c r="H69" s="647"/>
      <c r="I69" s="647"/>
      <c r="J69" s="172">
        <v>1</v>
      </c>
      <c r="K69" s="172">
        <f t="shared" si="2"/>
        <v>315</v>
      </c>
      <c r="L69" s="648" t="s">
        <v>36</v>
      </c>
      <c r="M69" s="512" t="s">
        <v>257</v>
      </c>
      <c r="N69" s="505">
        <v>21.0868</v>
      </c>
      <c r="O69" s="505">
        <v>79.063500000000005</v>
      </c>
      <c r="P69" s="518">
        <v>60000</v>
      </c>
      <c r="Q69" s="650">
        <v>70000</v>
      </c>
      <c r="R69" s="170">
        <v>100000</v>
      </c>
    </row>
    <row r="70" spans="1:18" s="312" customFormat="1" ht="19.5" customHeight="1" x14ac:dyDescent="0.2">
      <c r="A70" s="503">
        <v>69</v>
      </c>
      <c r="B70" s="649" t="s">
        <v>25</v>
      </c>
      <c r="C70" s="651" t="s">
        <v>897</v>
      </c>
      <c r="D70" s="170" t="s">
        <v>26</v>
      </c>
      <c r="E70" s="655" t="s">
        <v>240</v>
      </c>
      <c r="F70" s="653">
        <v>21</v>
      </c>
      <c r="G70" s="653">
        <v>15</v>
      </c>
      <c r="H70" s="647"/>
      <c r="I70" s="647"/>
      <c r="J70" s="172">
        <v>1</v>
      </c>
      <c r="K70" s="172">
        <f t="shared" si="2"/>
        <v>315</v>
      </c>
      <c r="L70" s="648" t="s">
        <v>36</v>
      </c>
      <c r="M70" s="512" t="s">
        <v>257</v>
      </c>
      <c r="N70" s="505">
        <v>21.0868</v>
      </c>
      <c r="O70" s="505">
        <v>79.063500000000005</v>
      </c>
      <c r="P70" s="518">
        <v>60000</v>
      </c>
      <c r="Q70" s="650">
        <v>70000</v>
      </c>
      <c r="R70" s="170">
        <v>100000</v>
      </c>
    </row>
    <row r="71" spans="1:18" ht="18" x14ac:dyDescent="0.2">
      <c r="A71" s="503"/>
      <c r="B71" s="508"/>
      <c r="C71" s="583"/>
      <c r="D71" s="505"/>
      <c r="E71" s="504"/>
      <c r="F71" s="523"/>
      <c r="G71" s="523"/>
      <c r="H71" s="523"/>
      <c r="I71" s="523"/>
      <c r="J71" s="508">
        <f>SUM(J2:J70)</f>
        <v>69</v>
      </c>
      <c r="K71" s="508">
        <f>SUBTOTAL(9,K11:K33)</f>
        <v>16730</v>
      </c>
      <c r="L71" s="523"/>
      <c r="M71" s="509"/>
      <c r="N71" s="505">
        <f>SUM(N2:N70)</f>
        <v>1077.3364346912924</v>
      </c>
      <c r="O71" s="505">
        <f>SUM(O2:O70)</f>
        <v>5456.0017599022331</v>
      </c>
      <c r="P71" s="506">
        <f>SUM(P2:P70)</f>
        <v>3905000</v>
      </c>
      <c r="Q71" s="505">
        <f>SUM(Q2:Q70)</f>
        <v>4710000</v>
      </c>
      <c r="R71" s="505">
        <f>SUBTOTAL(9,R15:R18)</f>
        <v>430000</v>
      </c>
    </row>
    <row r="72" spans="1:18" x14ac:dyDescent="0.2">
      <c r="A72" s="415"/>
      <c r="B72" s="416"/>
      <c r="C72" s="584"/>
      <c r="D72" s="415"/>
      <c r="E72" s="415"/>
      <c r="F72" s="415"/>
      <c r="G72" s="415"/>
      <c r="H72" s="415"/>
      <c r="I72" s="415"/>
      <c r="J72" s="416"/>
      <c r="K72" s="416"/>
      <c r="L72" s="415"/>
      <c r="M72" s="194"/>
      <c r="N72" s="416"/>
      <c r="O72" s="416"/>
    </row>
    <row r="73" spans="1:18" ht="15" x14ac:dyDescent="0.2">
      <c r="A73" s="415"/>
      <c r="B73" s="416"/>
      <c r="C73" s="692"/>
      <c r="D73" s="415"/>
      <c r="E73" s="415"/>
      <c r="F73" s="415"/>
      <c r="G73" s="415"/>
      <c r="H73" s="415"/>
      <c r="I73" s="415"/>
      <c r="J73" s="416"/>
      <c r="K73" s="416"/>
      <c r="L73" s="415"/>
      <c r="M73" s="194"/>
      <c r="N73" s="416"/>
      <c r="O73" s="416"/>
    </row>
    <row r="74" spans="1:18" ht="16" x14ac:dyDescent="0.2">
      <c r="A74" s="549"/>
      <c r="C74" s="585"/>
      <c r="D74" s="540"/>
      <c r="E74" s="539"/>
      <c r="F74" s="539"/>
      <c r="G74" s="539"/>
      <c r="H74" s="539"/>
      <c r="I74" s="539"/>
      <c r="J74" s="539"/>
      <c r="K74" s="539"/>
      <c r="L74" s="539"/>
      <c r="M74" s="416"/>
      <c r="N74" s="416"/>
      <c r="O74" s="416"/>
    </row>
    <row r="75" spans="1:18" ht="15" x14ac:dyDescent="0.2">
      <c r="A75" s="551"/>
      <c r="C75" s="700"/>
      <c r="D75" s="705"/>
      <c r="E75" s="539"/>
      <c r="F75" s="539"/>
      <c r="G75" s="539"/>
      <c r="H75" s="539"/>
      <c r="I75" s="539"/>
      <c r="J75" s="539"/>
      <c r="K75" s="539"/>
      <c r="L75" s="539"/>
    </row>
    <row r="76" spans="1:18" ht="16" x14ac:dyDescent="0.2">
      <c r="A76" s="551"/>
      <c r="B76" s="550"/>
      <c r="C76" s="586"/>
      <c r="D76" s="705"/>
      <c r="E76" s="539"/>
      <c r="F76" s="539"/>
      <c r="G76" s="539"/>
      <c r="H76" s="539"/>
      <c r="I76" s="539"/>
      <c r="J76" s="539"/>
      <c r="K76" s="539"/>
      <c r="L76" s="539"/>
    </row>
    <row r="77" spans="1:18" ht="16" x14ac:dyDescent="0.2">
      <c r="A77" s="551"/>
      <c r="B77" s="550"/>
      <c r="C77" s="553"/>
      <c r="D77" s="705"/>
      <c r="E77" s="539"/>
      <c r="F77" s="539"/>
      <c r="G77" s="539"/>
      <c r="H77" s="539"/>
      <c r="I77" s="539"/>
      <c r="J77" s="539"/>
      <c r="K77" s="539"/>
      <c r="L77" s="539"/>
      <c r="M77" s="196"/>
      <c r="N77" s="196"/>
      <c r="O77" s="196"/>
      <c r="P77" s="196"/>
      <c r="Q77" s="196"/>
      <c r="R77" s="196"/>
    </row>
    <row r="78" spans="1:18" ht="16" x14ac:dyDescent="0.2">
      <c r="A78" s="551"/>
      <c r="B78" s="550"/>
      <c r="C78" s="553"/>
      <c r="D78" s="705"/>
      <c r="E78" s="539"/>
      <c r="F78" s="539"/>
      <c r="G78" s="539"/>
      <c r="H78" s="539"/>
      <c r="I78" s="539"/>
      <c r="J78" s="539"/>
      <c r="K78" s="539"/>
      <c r="L78" s="539"/>
      <c r="M78" s="196"/>
      <c r="N78" s="196"/>
      <c r="O78" s="196"/>
      <c r="P78" s="196"/>
      <c r="Q78" s="196"/>
      <c r="R78" s="196"/>
    </row>
    <row r="79" spans="1:18" ht="16" x14ac:dyDescent="0.2">
      <c r="A79" s="551"/>
      <c r="B79" s="550"/>
      <c r="C79" s="553"/>
      <c r="D79" s="705"/>
      <c r="E79" s="539"/>
      <c r="F79" s="539"/>
      <c r="G79" s="539"/>
      <c r="H79" s="539"/>
      <c r="I79" s="539"/>
      <c r="J79" s="539"/>
      <c r="K79" s="539"/>
      <c r="L79" s="539"/>
      <c r="M79" s="196"/>
      <c r="N79" s="196"/>
      <c r="O79" s="196"/>
      <c r="P79" s="196"/>
      <c r="Q79" s="196"/>
      <c r="R79" s="196"/>
    </row>
    <row r="80" spans="1:18" ht="38.25" customHeight="1" x14ac:dyDescent="0.2">
      <c r="A80" s="551"/>
      <c r="B80" s="550"/>
      <c r="C80" s="717"/>
      <c r="D80" s="717"/>
      <c r="E80" s="717"/>
      <c r="F80" s="717"/>
      <c r="G80" s="717"/>
      <c r="H80" s="717"/>
      <c r="I80" s="717"/>
      <c r="J80" s="717"/>
      <c r="K80" s="717"/>
      <c r="L80" s="539"/>
      <c r="M80" s="196"/>
      <c r="N80" s="196"/>
      <c r="O80" s="196"/>
      <c r="P80" s="196"/>
      <c r="Q80" s="196"/>
      <c r="R80" s="196"/>
    </row>
    <row r="81" spans="1:18" ht="16" x14ac:dyDescent="0.2">
      <c r="A81" s="551"/>
      <c r="B81" s="550"/>
      <c r="C81" s="553"/>
      <c r="D81" s="705"/>
      <c r="E81" s="539"/>
      <c r="F81" s="539"/>
      <c r="G81" s="539"/>
      <c r="H81" s="539"/>
      <c r="I81" s="539"/>
      <c r="J81" s="539"/>
      <c r="K81" s="539"/>
      <c r="L81" s="539"/>
      <c r="M81" s="196"/>
      <c r="N81" s="196"/>
      <c r="O81" s="196"/>
      <c r="P81" s="196"/>
      <c r="Q81" s="196"/>
      <c r="R81" s="196"/>
    </row>
    <row r="82" spans="1:18" ht="16" x14ac:dyDescent="0.2">
      <c r="A82" s="551"/>
      <c r="B82" s="550"/>
      <c r="C82" s="553"/>
      <c r="D82" s="705"/>
      <c r="E82" s="539"/>
      <c r="F82" s="539"/>
      <c r="G82" s="539"/>
      <c r="H82" s="539"/>
      <c r="I82" s="539"/>
      <c r="J82" s="539"/>
      <c r="K82" s="539"/>
      <c r="L82" s="539"/>
      <c r="M82" s="196"/>
      <c r="N82" s="196"/>
      <c r="O82" s="196"/>
      <c r="P82" s="196"/>
      <c r="Q82" s="196"/>
      <c r="R82" s="196"/>
    </row>
    <row r="83" spans="1:18" ht="42" customHeight="1" x14ac:dyDescent="0.2">
      <c r="A83" s="551"/>
      <c r="B83" s="550"/>
      <c r="C83" s="716"/>
      <c r="D83" s="716"/>
      <c r="E83" s="716"/>
      <c r="F83" s="716"/>
      <c r="G83" s="716"/>
      <c r="H83" s="716"/>
      <c r="I83" s="716"/>
      <c r="J83" s="716"/>
      <c r="K83" s="716"/>
      <c r="L83" s="539"/>
      <c r="M83" s="196"/>
      <c r="N83" s="196"/>
      <c r="O83" s="196"/>
      <c r="P83" s="196"/>
      <c r="Q83" s="196"/>
      <c r="R83" s="196"/>
    </row>
    <row r="84" spans="1:18" ht="16" x14ac:dyDescent="0.2">
      <c r="A84" s="551"/>
      <c r="B84" s="550"/>
      <c r="C84" s="609"/>
      <c r="D84" s="705"/>
      <c r="E84" s="539"/>
      <c r="F84" s="539"/>
      <c r="G84" s="539"/>
      <c r="H84" s="539"/>
      <c r="I84" s="539"/>
      <c r="J84" s="539"/>
      <c r="K84" s="539"/>
      <c r="L84" s="539"/>
      <c r="M84" s="196"/>
      <c r="N84" s="196"/>
      <c r="O84" s="196"/>
      <c r="P84" s="196" t="s">
        <v>301</v>
      </c>
      <c r="Q84" s="196"/>
      <c r="R84" s="196"/>
    </row>
    <row r="85" spans="1:18" ht="16" x14ac:dyDescent="0.2">
      <c r="A85" s="551"/>
      <c r="B85" s="550"/>
      <c r="C85" s="693"/>
      <c r="D85" s="540"/>
      <c r="E85" s="539"/>
      <c r="F85" s="539"/>
      <c r="G85" s="539"/>
      <c r="H85" s="539"/>
      <c r="I85" s="539"/>
      <c r="J85" s="539"/>
      <c r="K85" s="539"/>
      <c r="L85" s="539"/>
      <c r="M85" s="196"/>
      <c r="N85" s="196"/>
      <c r="O85" s="196"/>
      <c r="P85" s="196"/>
      <c r="Q85" s="196"/>
      <c r="R85" s="196"/>
    </row>
    <row r="86" spans="1:18" ht="16" x14ac:dyDescent="0.2">
      <c r="A86" s="551"/>
      <c r="B86" s="550"/>
      <c r="C86" s="693"/>
      <c r="D86" s="540"/>
      <c r="E86" s="539"/>
      <c r="F86" s="539"/>
      <c r="G86" s="539"/>
      <c r="H86" s="539"/>
      <c r="I86" s="539"/>
      <c r="J86" s="539"/>
      <c r="K86" s="539"/>
      <c r="L86" s="539"/>
    </row>
    <row r="87" spans="1:18" ht="16" x14ac:dyDescent="0.2">
      <c r="A87" s="551"/>
      <c r="B87" s="550"/>
      <c r="C87" s="694"/>
      <c r="D87" s="540"/>
      <c r="E87" s="395"/>
      <c r="F87" s="395"/>
      <c r="G87" s="395"/>
      <c r="H87" s="395"/>
      <c r="I87" s="395"/>
      <c r="J87" s="395"/>
      <c r="K87" s="395"/>
      <c r="L87" s="395"/>
      <c r="M87" s="196"/>
      <c r="N87" s="196"/>
      <c r="O87" s="196"/>
      <c r="P87" s="196"/>
      <c r="Q87" s="196"/>
      <c r="R87" s="196"/>
    </row>
    <row r="88" spans="1:18" ht="16" x14ac:dyDescent="0.2">
      <c r="A88" s="551"/>
      <c r="B88" s="550"/>
      <c r="C88" s="585"/>
      <c r="D88" s="540"/>
      <c r="E88" s="395"/>
      <c r="F88" s="395"/>
      <c r="G88" s="395"/>
      <c r="H88" s="395"/>
      <c r="I88" s="395"/>
      <c r="J88" s="395"/>
      <c r="K88" s="395"/>
      <c r="L88" s="395"/>
    </row>
    <row r="89" spans="1:18" ht="16" x14ac:dyDescent="0.2">
      <c r="A89" s="551"/>
      <c r="B89" s="550"/>
      <c r="C89" s="552"/>
      <c r="D89" s="540"/>
      <c r="E89" s="395"/>
      <c r="F89" s="395"/>
      <c r="G89" s="395"/>
      <c r="H89" s="395"/>
      <c r="I89" s="395"/>
      <c r="J89" s="395"/>
      <c r="K89" s="395"/>
      <c r="L89" s="395"/>
    </row>
    <row r="90" spans="1:18" ht="16" x14ac:dyDescent="0.2">
      <c r="C90" s="592"/>
      <c r="D90" s="540"/>
      <c r="E90" s="395"/>
      <c r="F90" s="395"/>
      <c r="G90" s="395"/>
      <c r="H90" s="395"/>
      <c r="I90" s="395"/>
      <c r="J90" s="395"/>
      <c r="K90" s="395"/>
      <c r="L90" s="395"/>
      <c r="Q90"/>
      <c r="R90"/>
    </row>
    <row r="91" spans="1:18" ht="16" x14ac:dyDescent="0.2">
      <c r="A91" s="413" t="s">
        <v>301</v>
      </c>
      <c r="C91" s="544"/>
      <c r="D91" s="555" t="s">
        <v>301</v>
      </c>
      <c r="E91" s="395"/>
      <c r="F91" s="395"/>
      <c r="G91" s="395"/>
      <c r="H91" s="395"/>
      <c r="I91" s="395"/>
      <c r="J91" s="395"/>
      <c r="K91" s="395"/>
      <c r="L91" s="395"/>
      <c r="Q91"/>
      <c r="R91"/>
    </row>
    <row r="92" spans="1:18" ht="15" x14ac:dyDescent="0.2">
      <c r="R92"/>
    </row>
    <row r="93" spans="1:18" ht="15" x14ac:dyDescent="0.2">
      <c r="Q93"/>
      <c r="R93"/>
    </row>
    <row r="94" spans="1:18" ht="15" x14ac:dyDescent="0.2">
      <c r="A94"/>
      <c r="B94"/>
      <c r="C94" s="1"/>
      <c r="D94" s="391"/>
      <c r="E94" s="391"/>
      <c r="H94" s="427"/>
      <c r="Q94"/>
      <c r="R94"/>
    </row>
    <row r="95" spans="1:18" ht="17.25" customHeight="1" x14ac:dyDescent="0.2">
      <c r="A95"/>
      <c r="B95"/>
      <c r="C95" s="1"/>
      <c r="D95" s="391"/>
      <c r="E95" s="391"/>
      <c r="H95" s="427"/>
      <c r="K95"/>
      <c r="Q95"/>
      <c r="R95"/>
    </row>
    <row r="96" spans="1:18" x14ac:dyDescent="0.2">
      <c r="M96" s="167"/>
      <c r="R96" s="427"/>
    </row>
    <row r="97" spans="3:18" ht="15" x14ac:dyDescent="0.2">
      <c r="C97" s="391"/>
      <c r="K97"/>
      <c r="R97" s="427"/>
    </row>
    <row r="98" spans="3:18" ht="15" x14ac:dyDescent="0.2">
      <c r="K98"/>
      <c r="Q98"/>
      <c r="R98"/>
    </row>
    <row r="99" spans="3:18" ht="15" x14ac:dyDescent="0.2">
      <c r="K99"/>
      <c r="Q99"/>
      <c r="R99"/>
    </row>
    <row r="100" spans="3:18" ht="15" x14ac:dyDescent="0.2">
      <c r="K100"/>
      <c r="Q100"/>
      <c r="R100"/>
    </row>
    <row r="101" spans="3:18" ht="15" x14ac:dyDescent="0.2">
      <c r="K101"/>
      <c r="Q101"/>
      <c r="R101"/>
    </row>
    <row r="103" spans="3:18" x14ac:dyDescent="0.2">
      <c r="D103" s="167" t="s">
        <v>882</v>
      </c>
    </row>
  </sheetData>
  <autoFilter ref="A1:R89" xr:uid="{00000000-0001-0000-0000-000000000000}">
    <filterColumn colId="7" showButton="0"/>
  </autoFilter>
  <mergeCells count="3">
    <mergeCell ref="H1:I1"/>
    <mergeCell ref="C83:K83"/>
    <mergeCell ref="C80:K80"/>
  </mergeCells>
  <phoneticPr fontId="195" type="noConversion"/>
  <pageMargins left="0.23622047244094491" right="0" top="0.74803149606299213" bottom="0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0"/>
  <sheetViews>
    <sheetView topLeftCell="A16" workbookViewId="0">
      <selection activeCell="M23" sqref="M23"/>
    </sheetView>
  </sheetViews>
  <sheetFormatPr baseColWidth="10" defaultColWidth="8.83203125" defaultRowHeight="15" x14ac:dyDescent="0.2"/>
  <cols>
    <col min="3" max="3" width="55.1640625" customWidth="1"/>
    <col min="6" max="6" width="5.6640625" customWidth="1"/>
    <col min="7" max="7" width="6.5" customWidth="1"/>
    <col min="8" max="8" width="8.6640625" customWidth="1"/>
    <col min="9" max="9" width="9.83203125" style="459" customWidth="1"/>
    <col min="10" max="10" width="11.33203125" customWidth="1"/>
    <col min="11" max="11" width="9.1640625" style="459"/>
  </cols>
  <sheetData>
    <row r="1" spans="1:11" s="1" customFormat="1" ht="28.5" customHeight="1" x14ac:dyDescent="0.2">
      <c r="A1" s="388" t="s">
        <v>0</v>
      </c>
      <c r="B1" s="169" t="s">
        <v>75</v>
      </c>
      <c r="C1" s="387" t="s">
        <v>653</v>
      </c>
      <c r="D1" s="169" t="s">
        <v>2</v>
      </c>
      <c r="E1" s="169" t="s">
        <v>356</v>
      </c>
      <c r="F1" s="169" t="s">
        <v>4</v>
      </c>
      <c r="G1" s="169" t="s">
        <v>5</v>
      </c>
      <c r="H1" s="169" t="s">
        <v>364</v>
      </c>
      <c r="I1" s="389" t="s">
        <v>658</v>
      </c>
      <c r="J1" s="169" t="s">
        <v>657</v>
      </c>
      <c r="K1" s="169" t="s">
        <v>47</v>
      </c>
    </row>
    <row r="2" spans="1:11" x14ac:dyDescent="0.2">
      <c r="A2" s="412">
        <v>1</v>
      </c>
      <c r="B2" s="172" t="s">
        <v>25</v>
      </c>
      <c r="C2" s="447" t="s">
        <v>407</v>
      </c>
      <c r="D2" s="172" t="s">
        <v>30</v>
      </c>
      <c r="E2" s="172" t="s">
        <v>27</v>
      </c>
      <c r="F2" s="172">
        <v>25</v>
      </c>
      <c r="G2" s="172">
        <v>20</v>
      </c>
      <c r="H2" s="43">
        <f>F2*G2</f>
        <v>500</v>
      </c>
      <c r="I2" s="457">
        <v>3500</v>
      </c>
      <c r="J2" s="43">
        <f t="shared" ref="J2:J10" si="0">2*H2</f>
        <v>1000</v>
      </c>
      <c r="K2" s="43">
        <f>I2+J2</f>
        <v>4500</v>
      </c>
    </row>
    <row r="3" spans="1:11" x14ac:dyDescent="0.2">
      <c r="A3" s="412">
        <v>2</v>
      </c>
      <c r="B3" s="172" t="s">
        <v>25</v>
      </c>
      <c r="C3" s="447" t="s">
        <v>426</v>
      </c>
      <c r="D3" s="170" t="s">
        <v>26</v>
      </c>
      <c r="E3" s="170" t="s">
        <v>27</v>
      </c>
      <c r="F3" s="170">
        <v>30</v>
      </c>
      <c r="G3" s="170">
        <v>20</v>
      </c>
      <c r="H3" s="43">
        <f t="shared" ref="H3:H9" si="1">F3*G3</f>
        <v>600</v>
      </c>
      <c r="I3" s="457">
        <v>4000</v>
      </c>
      <c r="J3" s="43">
        <f t="shared" si="0"/>
        <v>1200</v>
      </c>
      <c r="K3" s="43">
        <f t="shared" ref="K3:K10" si="2">I3+J3</f>
        <v>5200</v>
      </c>
    </row>
    <row r="4" spans="1:11" x14ac:dyDescent="0.2">
      <c r="A4" s="412">
        <v>3</v>
      </c>
      <c r="B4" s="172" t="s">
        <v>25</v>
      </c>
      <c r="C4" s="447" t="s">
        <v>427</v>
      </c>
      <c r="D4" s="172" t="s">
        <v>26</v>
      </c>
      <c r="E4" s="172" t="s">
        <v>27</v>
      </c>
      <c r="F4" s="170">
        <v>40</v>
      </c>
      <c r="G4" s="170">
        <v>30</v>
      </c>
      <c r="H4" s="43">
        <f t="shared" si="1"/>
        <v>1200</v>
      </c>
      <c r="I4" s="457">
        <v>9000</v>
      </c>
      <c r="J4" s="43">
        <f t="shared" si="0"/>
        <v>2400</v>
      </c>
      <c r="K4" s="43">
        <f t="shared" si="2"/>
        <v>11400</v>
      </c>
    </row>
    <row r="5" spans="1:11" x14ac:dyDescent="0.2">
      <c r="A5" s="412">
        <v>4</v>
      </c>
      <c r="B5" s="172" t="s">
        <v>25</v>
      </c>
      <c r="C5" s="447" t="s">
        <v>429</v>
      </c>
      <c r="D5" s="172" t="s">
        <v>26</v>
      </c>
      <c r="E5" s="172" t="s">
        <v>27</v>
      </c>
      <c r="F5" s="170">
        <v>20</v>
      </c>
      <c r="G5" s="170">
        <v>30</v>
      </c>
      <c r="H5" s="43">
        <f t="shared" si="1"/>
        <v>600</v>
      </c>
      <c r="I5" s="457">
        <v>3500</v>
      </c>
      <c r="J5" s="43">
        <f t="shared" si="0"/>
        <v>1200</v>
      </c>
      <c r="K5" s="43">
        <f t="shared" si="2"/>
        <v>4700</v>
      </c>
    </row>
    <row r="6" spans="1:11" x14ac:dyDescent="0.2">
      <c r="A6" s="412">
        <v>5</v>
      </c>
      <c r="B6" s="172" t="s">
        <v>25</v>
      </c>
      <c r="C6" s="447" t="s">
        <v>430</v>
      </c>
      <c r="D6" s="172" t="s">
        <v>26</v>
      </c>
      <c r="E6" s="172" t="s">
        <v>27</v>
      </c>
      <c r="F6" s="170">
        <v>20</v>
      </c>
      <c r="G6" s="170">
        <v>30</v>
      </c>
      <c r="H6" s="43">
        <f t="shared" si="1"/>
        <v>600</v>
      </c>
      <c r="I6" s="457">
        <v>3500</v>
      </c>
      <c r="J6" s="43">
        <f t="shared" si="0"/>
        <v>1200</v>
      </c>
      <c r="K6" s="43">
        <f t="shared" si="2"/>
        <v>4700</v>
      </c>
    </row>
    <row r="7" spans="1:11" x14ac:dyDescent="0.2">
      <c r="A7" s="412">
        <v>6</v>
      </c>
      <c r="B7" s="172" t="s">
        <v>25</v>
      </c>
      <c r="C7" s="447" t="s">
        <v>409</v>
      </c>
      <c r="D7" s="172" t="s">
        <v>26</v>
      </c>
      <c r="E7" s="172" t="s">
        <v>27</v>
      </c>
      <c r="F7" s="172">
        <v>30</v>
      </c>
      <c r="G7" s="172">
        <v>20</v>
      </c>
      <c r="H7" s="43">
        <f t="shared" si="1"/>
        <v>600</v>
      </c>
      <c r="I7" s="457">
        <v>4000</v>
      </c>
      <c r="J7" s="43">
        <f t="shared" si="0"/>
        <v>1200</v>
      </c>
      <c r="K7" s="43">
        <f t="shared" si="2"/>
        <v>5200</v>
      </c>
    </row>
    <row r="8" spans="1:11" x14ac:dyDescent="0.2">
      <c r="A8" s="412">
        <v>7</v>
      </c>
      <c r="B8" s="172" t="s">
        <v>25</v>
      </c>
      <c r="C8" s="447" t="s">
        <v>456</v>
      </c>
      <c r="D8" s="172" t="s">
        <v>26</v>
      </c>
      <c r="E8" s="172" t="s">
        <v>27</v>
      </c>
      <c r="F8" s="172">
        <v>40</v>
      </c>
      <c r="G8" s="172">
        <v>20</v>
      </c>
      <c r="H8" s="43">
        <f t="shared" si="1"/>
        <v>800</v>
      </c>
      <c r="I8" s="457">
        <v>4000</v>
      </c>
      <c r="J8" s="43">
        <f t="shared" si="0"/>
        <v>1600</v>
      </c>
      <c r="K8" s="43">
        <f t="shared" si="2"/>
        <v>5600</v>
      </c>
    </row>
    <row r="9" spans="1:11" ht="30.75" customHeight="1" x14ac:dyDescent="0.2">
      <c r="A9" s="412">
        <v>8</v>
      </c>
      <c r="B9" s="172" t="s">
        <v>25</v>
      </c>
      <c r="C9" s="447" t="s">
        <v>454</v>
      </c>
      <c r="D9" s="172" t="s">
        <v>26</v>
      </c>
      <c r="E9" s="172" t="s">
        <v>27</v>
      </c>
      <c r="F9" s="172">
        <v>40</v>
      </c>
      <c r="G9" s="172">
        <v>25</v>
      </c>
      <c r="H9" s="43">
        <f t="shared" si="1"/>
        <v>1000</v>
      </c>
      <c r="I9" s="457">
        <v>9000</v>
      </c>
      <c r="J9" s="43">
        <f t="shared" si="0"/>
        <v>2000</v>
      </c>
      <c r="K9" s="43">
        <f t="shared" si="2"/>
        <v>11000</v>
      </c>
    </row>
    <row r="10" spans="1:11" x14ac:dyDescent="0.2">
      <c r="A10" s="412">
        <v>9</v>
      </c>
      <c r="B10" s="172" t="s">
        <v>25</v>
      </c>
      <c r="C10" s="447" t="s">
        <v>431</v>
      </c>
      <c r="D10" s="170" t="s">
        <v>26</v>
      </c>
      <c r="E10" s="170" t="s">
        <v>27</v>
      </c>
      <c r="F10" s="170">
        <v>40</v>
      </c>
      <c r="G10" s="170">
        <v>20</v>
      </c>
      <c r="H10" s="43">
        <f>F10*G10</f>
        <v>800</v>
      </c>
      <c r="I10" s="457">
        <v>8000</v>
      </c>
      <c r="J10" s="43">
        <f t="shared" si="0"/>
        <v>1600</v>
      </c>
      <c r="K10" s="43">
        <f t="shared" si="2"/>
        <v>9600</v>
      </c>
    </row>
    <row r="11" spans="1:11" x14ac:dyDescent="0.2">
      <c r="A11" s="721" t="s">
        <v>47</v>
      </c>
      <c r="B11" s="722"/>
      <c r="C11" s="722"/>
      <c r="D11" s="722"/>
      <c r="E11" s="722"/>
      <c r="F11" s="722"/>
      <c r="G11" s="722"/>
      <c r="H11" s="722"/>
      <c r="I11" s="722"/>
      <c r="J11" s="723"/>
      <c r="K11" s="463">
        <f>SUM(K2:K10)</f>
        <v>61900</v>
      </c>
    </row>
    <row r="12" spans="1:11" x14ac:dyDescent="0.2">
      <c r="C12" s="458" t="s">
        <v>660</v>
      </c>
      <c r="K12"/>
    </row>
    <row r="16" spans="1:11" ht="45" x14ac:dyDescent="0.2">
      <c r="A16" s="388" t="s">
        <v>0</v>
      </c>
      <c r="B16" s="169" t="s">
        <v>75</v>
      </c>
      <c r="C16" s="387" t="s">
        <v>653</v>
      </c>
      <c r="D16" s="169" t="s">
        <v>2</v>
      </c>
      <c r="E16" s="169" t="s">
        <v>356</v>
      </c>
      <c r="F16" s="169" t="s">
        <v>4</v>
      </c>
      <c r="G16" s="169" t="s">
        <v>5</v>
      </c>
      <c r="H16" s="387" t="s">
        <v>7</v>
      </c>
      <c r="I16" s="460" t="s">
        <v>657</v>
      </c>
      <c r="K16"/>
    </row>
    <row r="17" spans="1:11" x14ac:dyDescent="0.2">
      <c r="A17" s="412">
        <v>1</v>
      </c>
      <c r="B17" s="172" t="s">
        <v>25</v>
      </c>
      <c r="C17" s="447" t="s">
        <v>459</v>
      </c>
      <c r="D17" s="170" t="s">
        <v>26</v>
      </c>
      <c r="E17" s="172" t="s">
        <v>27</v>
      </c>
      <c r="F17" s="172">
        <v>20</v>
      </c>
      <c r="G17" s="172">
        <v>20</v>
      </c>
      <c r="H17" s="172">
        <v>400</v>
      </c>
      <c r="I17" s="457">
        <f>2*H17</f>
        <v>800</v>
      </c>
      <c r="K17"/>
    </row>
    <row r="18" spans="1:11" x14ac:dyDescent="0.2">
      <c r="A18" s="412">
        <v>2</v>
      </c>
      <c r="B18" s="170" t="s">
        <v>25</v>
      </c>
      <c r="C18" s="447" t="s">
        <v>425</v>
      </c>
      <c r="D18" s="170" t="s">
        <v>26</v>
      </c>
      <c r="E18" s="170" t="s">
        <v>27</v>
      </c>
      <c r="F18" s="170">
        <v>30</v>
      </c>
      <c r="G18" s="170">
        <v>20</v>
      </c>
      <c r="H18" s="172">
        <v>600</v>
      </c>
      <c r="I18" s="457">
        <f t="shared" ref="I18:I28" si="3">2*H18</f>
        <v>1200</v>
      </c>
      <c r="K18"/>
    </row>
    <row r="19" spans="1:11" x14ac:dyDescent="0.2">
      <c r="A19" s="412">
        <v>3</v>
      </c>
      <c r="B19" s="172" t="s">
        <v>25</v>
      </c>
      <c r="C19" s="447" t="s">
        <v>408</v>
      </c>
      <c r="D19" s="170" t="s">
        <v>26</v>
      </c>
      <c r="E19" s="170" t="s">
        <v>27</v>
      </c>
      <c r="F19" s="170">
        <v>40</v>
      </c>
      <c r="G19" s="170">
        <v>20</v>
      </c>
      <c r="H19" s="172">
        <v>800</v>
      </c>
      <c r="I19" s="457">
        <f t="shared" si="3"/>
        <v>1600</v>
      </c>
      <c r="K19"/>
    </row>
    <row r="20" spans="1:11" x14ac:dyDescent="0.2">
      <c r="A20" s="412">
        <v>4</v>
      </c>
      <c r="B20" s="172" t="s">
        <v>25</v>
      </c>
      <c r="C20" s="447" t="s">
        <v>38</v>
      </c>
      <c r="D20" s="172" t="s">
        <v>26</v>
      </c>
      <c r="E20" s="172" t="s">
        <v>27</v>
      </c>
      <c r="F20" s="172">
        <v>25</v>
      </c>
      <c r="G20" s="172">
        <v>25</v>
      </c>
      <c r="H20" s="172">
        <v>625</v>
      </c>
      <c r="I20" s="457">
        <f t="shared" si="3"/>
        <v>1250</v>
      </c>
      <c r="K20"/>
    </row>
    <row r="21" spans="1:11" x14ac:dyDescent="0.2">
      <c r="A21" s="412">
        <v>5</v>
      </c>
      <c r="B21" s="172" t="s">
        <v>25</v>
      </c>
      <c r="C21" s="447" t="s">
        <v>411</v>
      </c>
      <c r="D21" s="170" t="s">
        <v>26</v>
      </c>
      <c r="E21" s="170" t="s">
        <v>27</v>
      </c>
      <c r="F21" s="170">
        <v>40</v>
      </c>
      <c r="G21" s="170">
        <v>20</v>
      </c>
      <c r="H21" s="172">
        <v>800</v>
      </c>
      <c r="I21" s="457">
        <f t="shared" si="3"/>
        <v>1600</v>
      </c>
      <c r="K21"/>
    </row>
    <row r="22" spans="1:11" x14ac:dyDescent="0.2">
      <c r="A22" s="412">
        <v>6</v>
      </c>
      <c r="B22" s="172" t="s">
        <v>25</v>
      </c>
      <c r="C22" s="447" t="s">
        <v>455</v>
      </c>
      <c r="D22" s="172" t="s">
        <v>26</v>
      </c>
      <c r="E22" s="172" t="s">
        <v>27</v>
      </c>
      <c r="F22" s="172">
        <v>40</v>
      </c>
      <c r="G22" s="172">
        <v>20</v>
      </c>
      <c r="H22" s="172">
        <v>800</v>
      </c>
      <c r="I22" s="457">
        <f t="shared" si="3"/>
        <v>1600</v>
      </c>
      <c r="K22"/>
    </row>
    <row r="23" spans="1:11" x14ac:dyDescent="0.2">
      <c r="A23" s="412">
        <v>7</v>
      </c>
      <c r="B23" s="172" t="s">
        <v>25</v>
      </c>
      <c r="C23" s="447" t="s">
        <v>453</v>
      </c>
      <c r="D23" s="172" t="s">
        <v>26</v>
      </c>
      <c r="E23" s="172" t="s">
        <v>27</v>
      </c>
      <c r="F23" s="172">
        <v>40</v>
      </c>
      <c r="G23" s="172">
        <v>25</v>
      </c>
      <c r="H23" s="172">
        <v>1000</v>
      </c>
      <c r="I23" s="457">
        <f t="shared" si="3"/>
        <v>2000</v>
      </c>
      <c r="K23"/>
    </row>
    <row r="24" spans="1:11" x14ac:dyDescent="0.2">
      <c r="A24" s="412">
        <v>8</v>
      </c>
      <c r="B24" s="172" t="s">
        <v>25</v>
      </c>
      <c r="C24" s="447" t="s">
        <v>449</v>
      </c>
      <c r="D24" s="170" t="s">
        <v>26</v>
      </c>
      <c r="E24" s="170" t="s">
        <v>27</v>
      </c>
      <c r="F24" s="170">
        <v>20</v>
      </c>
      <c r="G24" s="170">
        <v>20</v>
      </c>
      <c r="H24" s="172">
        <v>400</v>
      </c>
      <c r="I24" s="457">
        <f t="shared" si="3"/>
        <v>800</v>
      </c>
      <c r="K24"/>
    </row>
    <row r="25" spans="1:11" x14ac:dyDescent="0.2">
      <c r="A25" s="412">
        <v>9</v>
      </c>
      <c r="B25" s="172" t="s">
        <v>25</v>
      </c>
      <c r="C25" s="447" t="s">
        <v>444</v>
      </c>
      <c r="D25" s="170" t="s">
        <v>26</v>
      </c>
      <c r="E25" s="170" t="s">
        <v>27</v>
      </c>
      <c r="F25" s="170">
        <v>40</v>
      </c>
      <c r="G25" s="170">
        <v>20</v>
      </c>
      <c r="H25" s="172">
        <v>800</v>
      </c>
      <c r="I25" s="457">
        <f t="shared" si="3"/>
        <v>1600</v>
      </c>
      <c r="K25"/>
    </row>
    <row r="26" spans="1:11" x14ac:dyDescent="0.2">
      <c r="A26" s="412">
        <v>10</v>
      </c>
      <c r="B26" s="172" t="s">
        <v>25</v>
      </c>
      <c r="C26" s="447" t="s">
        <v>432</v>
      </c>
      <c r="D26" s="170" t="s">
        <v>26</v>
      </c>
      <c r="E26" s="172" t="s">
        <v>27</v>
      </c>
      <c r="F26" s="170">
        <v>25</v>
      </c>
      <c r="G26" s="170">
        <v>25</v>
      </c>
      <c r="H26" s="172">
        <v>625</v>
      </c>
      <c r="I26" s="457">
        <f t="shared" si="3"/>
        <v>1250</v>
      </c>
      <c r="K26"/>
    </row>
    <row r="27" spans="1:11" x14ac:dyDescent="0.2">
      <c r="A27" s="412">
        <v>11</v>
      </c>
      <c r="B27" s="172" t="s">
        <v>25</v>
      </c>
      <c r="C27" s="447" t="s">
        <v>448</v>
      </c>
      <c r="D27" s="170" t="s">
        <v>30</v>
      </c>
      <c r="E27" s="172" t="s">
        <v>27</v>
      </c>
      <c r="F27" s="170">
        <v>20</v>
      </c>
      <c r="G27" s="170">
        <v>30</v>
      </c>
      <c r="H27" s="172">
        <v>600</v>
      </c>
      <c r="I27" s="457">
        <f t="shared" si="3"/>
        <v>1200</v>
      </c>
      <c r="K27"/>
    </row>
    <row r="28" spans="1:11" x14ac:dyDescent="0.2">
      <c r="A28" s="412">
        <v>12</v>
      </c>
      <c r="B28" s="172" t="s">
        <v>25</v>
      </c>
      <c r="C28" s="447" t="s">
        <v>433</v>
      </c>
      <c r="D28" s="172" t="s">
        <v>26</v>
      </c>
      <c r="E28" s="172" t="s">
        <v>27</v>
      </c>
      <c r="F28" s="172">
        <v>20</v>
      </c>
      <c r="G28" s="172">
        <v>20</v>
      </c>
      <c r="H28" s="172">
        <v>400</v>
      </c>
      <c r="I28" s="457">
        <f t="shared" si="3"/>
        <v>800</v>
      </c>
      <c r="K28"/>
    </row>
    <row r="29" spans="1:11" x14ac:dyDescent="0.2">
      <c r="A29" s="718" t="s">
        <v>659</v>
      </c>
      <c r="B29" s="719"/>
      <c r="C29" s="719"/>
      <c r="D29" s="719"/>
      <c r="E29" s="719"/>
      <c r="F29" s="719"/>
      <c r="G29" s="719"/>
      <c r="H29" s="720"/>
      <c r="I29" s="461">
        <f>SUM(I17:I28)</f>
        <v>15700</v>
      </c>
      <c r="K29"/>
    </row>
    <row r="30" spans="1:11" x14ac:dyDescent="0.2">
      <c r="C30" s="462" t="s">
        <v>661</v>
      </c>
      <c r="K30"/>
    </row>
  </sheetData>
  <mergeCells count="2">
    <mergeCell ref="A29:H29"/>
    <mergeCell ref="A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P33"/>
  <sheetViews>
    <sheetView zoomScale="80" zoomScaleNormal="80" workbookViewId="0">
      <pane ySplit="1" topLeftCell="A2" activePane="bottomLeft" state="frozen"/>
      <selection activeCell="C14" sqref="C14"/>
      <selection pane="bottomLeft" activeCell="C50" sqref="C50"/>
    </sheetView>
  </sheetViews>
  <sheetFormatPr baseColWidth="10" defaultColWidth="9.1640625" defaultRowHeight="16" x14ac:dyDescent="0.2"/>
  <cols>
    <col min="1" max="1" width="7.1640625" style="196" customWidth="1"/>
    <col min="2" max="2" width="13.5" style="196" customWidth="1"/>
    <col min="3" max="3" width="57.5" style="196" customWidth="1"/>
    <col min="4" max="4" width="12.33203125" style="196" bestFit="1" customWidth="1"/>
    <col min="5" max="5" width="13.6640625" style="196" bestFit="1" customWidth="1"/>
    <col min="6" max="6" width="9.33203125" style="196" bestFit="1" customWidth="1"/>
    <col min="7" max="7" width="8.6640625" style="196" bestFit="1" customWidth="1"/>
    <col min="8" max="8" width="11.5" style="196" bestFit="1" customWidth="1"/>
    <col min="9" max="9" width="18.83203125" style="196" bestFit="1" customWidth="1"/>
    <col min="10" max="10" width="14.1640625" style="196" customWidth="1"/>
    <col min="11" max="11" width="15" style="196" customWidth="1"/>
    <col min="12" max="12" width="16.33203125" style="196" customWidth="1"/>
    <col min="13" max="13" width="13.1640625" style="196" customWidth="1"/>
    <col min="14" max="14" width="15.1640625" style="196" customWidth="1"/>
    <col min="15" max="15" width="9.1640625" style="559"/>
    <col min="16" max="16384" width="9.1640625" style="196"/>
  </cols>
  <sheetData>
    <row r="1" spans="1:16" s="401" customFormat="1" ht="17" x14ac:dyDescent="0.2">
      <c r="A1" s="397" t="s">
        <v>716</v>
      </c>
      <c r="B1" s="398" t="s">
        <v>75</v>
      </c>
      <c r="C1" s="398" t="s">
        <v>76</v>
      </c>
      <c r="D1" s="276" t="s">
        <v>2</v>
      </c>
      <c r="E1" s="399" t="s">
        <v>3</v>
      </c>
      <c r="F1" s="400" t="s">
        <v>4</v>
      </c>
      <c r="G1" s="400" t="s">
        <v>5</v>
      </c>
      <c r="H1" s="399" t="s">
        <v>6</v>
      </c>
      <c r="I1" s="275" t="s">
        <v>7</v>
      </c>
      <c r="J1" s="406" t="s">
        <v>8</v>
      </c>
      <c r="K1" s="407" t="s">
        <v>9</v>
      </c>
      <c r="L1" s="277" t="s">
        <v>84</v>
      </c>
      <c r="M1" s="279" t="s">
        <v>11</v>
      </c>
      <c r="N1" s="279" t="s">
        <v>78</v>
      </c>
      <c r="O1" s="403"/>
    </row>
    <row r="2" spans="1:16" s="174" customFormat="1" x14ac:dyDescent="0.2">
      <c r="A2" s="170">
        <v>1</v>
      </c>
      <c r="B2" s="170" t="s">
        <v>90</v>
      </c>
      <c r="C2" s="596" t="s">
        <v>469</v>
      </c>
      <c r="D2" s="170" t="s">
        <v>30</v>
      </c>
      <c r="E2" s="217" t="str">
        <f t="shared" ref="E2:E8" si="0">$E$11</f>
        <v>Hoarding</v>
      </c>
      <c r="F2" s="170">
        <v>40</v>
      </c>
      <c r="G2" s="170">
        <v>20</v>
      </c>
      <c r="H2" s="172">
        <v>1</v>
      </c>
      <c r="I2" s="170">
        <f t="shared" ref="I2:I11" si="1">F2*G2</f>
        <v>800</v>
      </c>
      <c r="J2" s="242">
        <v>20.936475999999999</v>
      </c>
      <c r="K2" s="242">
        <v>77.771005000000002</v>
      </c>
      <c r="L2" s="695">
        <f>I2*30</f>
        <v>24000</v>
      </c>
      <c r="M2" s="267">
        <f>I2*40</f>
        <v>32000</v>
      </c>
      <c r="N2" s="267">
        <f>I2*50</f>
        <v>40000</v>
      </c>
      <c r="O2" s="408"/>
    </row>
    <row r="3" spans="1:16" s="174" customFormat="1" x14ac:dyDescent="0.2">
      <c r="A3" s="170">
        <v>2</v>
      </c>
      <c r="B3" s="170" t="s">
        <v>90</v>
      </c>
      <c r="C3" s="596" t="s">
        <v>472</v>
      </c>
      <c r="D3" s="170" t="s">
        <v>30</v>
      </c>
      <c r="E3" s="217" t="str">
        <f t="shared" si="0"/>
        <v>Hoarding</v>
      </c>
      <c r="F3" s="170">
        <v>25</v>
      </c>
      <c r="G3" s="170">
        <v>25</v>
      </c>
      <c r="H3" s="172">
        <v>1</v>
      </c>
      <c r="I3" s="170">
        <f t="shared" si="1"/>
        <v>625</v>
      </c>
      <c r="J3" s="243" t="s">
        <v>92</v>
      </c>
      <c r="K3" s="242">
        <v>77.761798999999996</v>
      </c>
      <c r="L3" s="695">
        <v>19000</v>
      </c>
      <c r="M3" s="267">
        <f t="shared" ref="M3:M11" si="2">I3*40</f>
        <v>25000</v>
      </c>
      <c r="N3" s="267">
        <v>31000</v>
      </c>
      <c r="O3" s="408"/>
    </row>
    <row r="4" spans="1:16" s="174" customFormat="1" x14ac:dyDescent="0.2">
      <c r="A4" s="170">
        <v>3</v>
      </c>
      <c r="B4" s="170" t="s">
        <v>90</v>
      </c>
      <c r="C4" s="596" t="s">
        <v>470</v>
      </c>
      <c r="D4" s="170" t="s">
        <v>30</v>
      </c>
      <c r="E4" s="217" t="str">
        <f t="shared" si="0"/>
        <v>Hoarding</v>
      </c>
      <c r="F4" s="170">
        <v>30</v>
      </c>
      <c r="G4" s="170">
        <v>15</v>
      </c>
      <c r="H4" s="172">
        <v>1</v>
      </c>
      <c r="I4" s="170">
        <f t="shared" si="1"/>
        <v>450</v>
      </c>
      <c r="J4" s="242">
        <v>20.936686000000002</v>
      </c>
      <c r="K4" s="242">
        <v>77.771015000000006</v>
      </c>
      <c r="L4" s="695">
        <v>14000</v>
      </c>
      <c r="M4" s="267">
        <f t="shared" si="2"/>
        <v>18000</v>
      </c>
      <c r="N4" s="267">
        <v>23000</v>
      </c>
      <c r="O4" s="408"/>
    </row>
    <row r="5" spans="1:16" s="174" customFormat="1" x14ac:dyDescent="0.2">
      <c r="A5" s="170">
        <v>4</v>
      </c>
      <c r="B5" s="170" t="s">
        <v>90</v>
      </c>
      <c r="C5" s="646" t="s">
        <v>471</v>
      </c>
      <c r="D5" s="170" t="s">
        <v>30</v>
      </c>
      <c r="E5" s="217" t="str">
        <f t="shared" si="0"/>
        <v>Hoarding</v>
      </c>
      <c r="F5" s="170">
        <v>40</v>
      </c>
      <c r="G5" s="170">
        <v>20</v>
      </c>
      <c r="H5" s="172">
        <v>1</v>
      </c>
      <c r="I5" s="170">
        <f t="shared" si="1"/>
        <v>800</v>
      </c>
      <c r="J5" s="242">
        <v>20.929690999999998</v>
      </c>
      <c r="K5" s="242">
        <v>77.764123999999995</v>
      </c>
      <c r="L5" s="695">
        <f t="shared" ref="L5:L11" si="3">I5*30</f>
        <v>24000</v>
      </c>
      <c r="M5" s="267">
        <f t="shared" si="2"/>
        <v>32000</v>
      </c>
      <c r="N5" s="267">
        <f t="shared" ref="N5:N11" si="4">I5*50</f>
        <v>40000</v>
      </c>
      <c r="O5" s="408"/>
    </row>
    <row r="6" spans="1:16" s="174" customFormat="1" x14ac:dyDescent="0.2">
      <c r="A6" s="170">
        <v>5</v>
      </c>
      <c r="B6" s="170" t="s">
        <v>90</v>
      </c>
      <c r="C6" s="596" t="s">
        <v>434</v>
      </c>
      <c r="D6" s="170" t="s">
        <v>30</v>
      </c>
      <c r="E6" s="217" t="str">
        <f t="shared" si="0"/>
        <v>Hoarding</v>
      </c>
      <c r="F6" s="170">
        <v>20</v>
      </c>
      <c r="G6" s="170">
        <v>20</v>
      </c>
      <c r="H6" s="172">
        <v>1</v>
      </c>
      <c r="I6" s="170">
        <f t="shared" si="1"/>
        <v>400</v>
      </c>
      <c r="J6" s="243" t="s">
        <v>94</v>
      </c>
      <c r="K6" s="242">
        <v>77.761532000000003</v>
      </c>
      <c r="L6" s="695">
        <f t="shared" si="3"/>
        <v>12000</v>
      </c>
      <c r="M6" s="267">
        <f t="shared" si="2"/>
        <v>16000</v>
      </c>
      <c r="N6" s="267">
        <f t="shared" si="4"/>
        <v>20000</v>
      </c>
      <c r="O6" s="408"/>
    </row>
    <row r="7" spans="1:16" s="174" customFormat="1" x14ac:dyDescent="0.2">
      <c r="A7" s="170">
        <v>6</v>
      </c>
      <c r="B7" s="170" t="s">
        <v>90</v>
      </c>
      <c r="C7" s="597" t="s">
        <v>473</v>
      </c>
      <c r="D7" s="170" t="s">
        <v>30</v>
      </c>
      <c r="E7" s="217" t="str">
        <f t="shared" si="0"/>
        <v>Hoarding</v>
      </c>
      <c r="F7" s="170">
        <v>30</v>
      </c>
      <c r="G7" s="170">
        <v>25</v>
      </c>
      <c r="H7" s="172">
        <v>1</v>
      </c>
      <c r="I7" s="170">
        <f t="shared" si="1"/>
        <v>750</v>
      </c>
      <c r="J7" s="242">
        <v>20.909081</v>
      </c>
      <c r="K7" s="242">
        <v>77.751437999999993</v>
      </c>
      <c r="L7" s="695">
        <v>23000</v>
      </c>
      <c r="M7" s="267">
        <f t="shared" si="2"/>
        <v>30000</v>
      </c>
      <c r="N7" s="267">
        <v>38000</v>
      </c>
      <c r="O7" s="408"/>
    </row>
    <row r="8" spans="1:16" s="174" customFormat="1" x14ac:dyDescent="0.2">
      <c r="A8" s="562">
        <v>7</v>
      </c>
      <c r="B8" s="562" t="s">
        <v>90</v>
      </c>
      <c r="C8" s="701" t="s">
        <v>474</v>
      </c>
      <c r="D8" s="562" t="s">
        <v>30</v>
      </c>
      <c r="E8" s="217" t="str">
        <f t="shared" si="0"/>
        <v>Hoarding</v>
      </c>
      <c r="F8" s="562">
        <v>20</v>
      </c>
      <c r="G8" s="562">
        <v>20</v>
      </c>
      <c r="H8" s="563">
        <v>1</v>
      </c>
      <c r="I8" s="562">
        <f t="shared" si="1"/>
        <v>400</v>
      </c>
      <c r="J8" s="564">
        <v>20.943147</v>
      </c>
      <c r="K8" s="564">
        <v>77.769903999999997</v>
      </c>
      <c r="L8" s="695">
        <f t="shared" si="3"/>
        <v>12000</v>
      </c>
      <c r="M8" s="267">
        <f t="shared" si="2"/>
        <v>16000</v>
      </c>
      <c r="N8" s="267">
        <f t="shared" si="4"/>
        <v>20000</v>
      </c>
      <c r="O8" s="408"/>
    </row>
    <row r="9" spans="1:16" x14ac:dyDescent="0.2">
      <c r="A9" s="217">
        <v>8</v>
      </c>
      <c r="B9" s="217" t="s">
        <v>90</v>
      </c>
      <c r="C9" s="528" t="s">
        <v>866</v>
      </c>
      <c r="D9" s="217" t="s">
        <v>30</v>
      </c>
      <c r="E9" s="217" t="s">
        <v>27</v>
      </c>
      <c r="F9" s="217">
        <v>40</v>
      </c>
      <c r="G9" s="217">
        <v>20</v>
      </c>
      <c r="H9" s="217">
        <v>1</v>
      </c>
      <c r="I9" s="217">
        <f t="shared" si="1"/>
        <v>800</v>
      </c>
      <c r="J9" s="564">
        <v>20.934103</v>
      </c>
      <c r="K9" s="564">
        <v>77.763060999999993</v>
      </c>
      <c r="L9" s="695">
        <f t="shared" si="3"/>
        <v>24000</v>
      </c>
      <c r="M9" s="267">
        <f t="shared" si="2"/>
        <v>32000</v>
      </c>
      <c r="N9" s="267">
        <f t="shared" si="4"/>
        <v>40000</v>
      </c>
    </row>
    <row r="10" spans="1:16" x14ac:dyDescent="0.2">
      <c r="A10" s="170">
        <v>9</v>
      </c>
      <c r="B10" s="217" t="s">
        <v>90</v>
      </c>
      <c r="C10" s="709" t="s">
        <v>869</v>
      </c>
      <c r="D10" s="217" t="s">
        <v>30</v>
      </c>
      <c r="E10" s="217" t="s">
        <v>27</v>
      </c>
      <c r="F10" s="217">
        <v>30</v>
      </c>
      <c r="G10" s="217">
        <v>20</v>
      </c>
      <c r="H10" s="217">
        <v>1</v>
      </c>
      <c r="I10" s="217">
        <f t="shared" si="1"/>
        <v>600</v>
      </c>
      <c r="J10" s="242">
        <v>20.85595</v>
      </c>
      <c r="K10" s="564">
        <v>77.727886999999996</v>
      </c>
      <c r="L10" s="695">
        <f t="shared" si="3"/>
        <v>18000</v>
      </c>
      <c r="M10" s="267">
        <f t="shared" si="2"/>
        <v>24000</v>
      </c>
      <c r="N10" s="267">
        <f t="shared" si="4"/>
        <v>30000</v>
      </c>
    </row>
    <row r="11" spans="1:16" x14ac:dyDescent="0.2">
      <c r="A11" s="217">
        <v>10</v>
      </c>
      <c r="B11" s="217" t="s">
        <v>90</v>
      </c>
      <c r="C11" s="709" t="s">
        <v>875</v>
      </c>
      <c r="D11" s="217" t="s">
        <v>30</v>
      </c>
      <c r="E11" s="217" t="s">
        <v>27</v>
      </c>
      <c r="F11" s="217">
        <v>40</v>
      </c>
      <c r="G11" s="217">
        <v>20</v>
      </c>
      <c r="H11" s="217">
        <v>1</v>
      </c>
      <c r="I11" s="217">
        <f t="shared" si="1"/>
        <v>800</v>
      </c>
      <c r="J11" s="242">
        <v>20.92801</v>
      </c>
      <c r="K11" s="242">
        <v>77.753309999999999</v>
      </c>
      <c r="L11" s="695">
        <f t="shared" si="3"/>
        <v>24000</v>
      </c>
      <c r="M11" s="267">
        <f t="shared" si="2"/>
        <v>32000</v>
      </c>
      <c r="N11" s="267">
        <f t="shared" si="4"/>
        <v>40000</v>
      </c>
    </row>
    <row r="12" spans="1:16" x14ac:dyDescent="0.2">
      <c r="A12" s="402"/>
      <c r="B12" s="402"/>
      <c r="C12" s="702"/>
      <c r="D12" s="402"/>
      <c r="E12" s="402"/>
      <c r="F12" s="402"/>
      <c r="G12" s="402"/>
      <c r="H12" s="402"/>
      <c r="I12" s="402"/>
      <c r="J12" s="402"/>
      <c r="K12" s="402"/>
      <c r="L12" s="404"/>
      <c r="M12" s="405"/>
      <c r="N12" s="405"/>
    </row>
    <row r="13" spans="1:16" x14ac:dyDescent="0.2">
      <c r="A13" s="402"/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4"/>
      <c r="M13" s="405"/>
      <c r="N13" s="405" t="s">
        <v>302</v>
      </c>
    </row>
    <row r="14" spans="1:16" x14ac:dyDescent="0.2">
      <c r="A14" s="551"/>
      <c r="B14" s="608"/>
      <c r="C14" s="552"/>
      <c r="D14" s="540"/>
      <c r="E14" s="539"/>
      <c r="F14" s="539"/>
      <c r="G14" s="539"/>
      <c r="H14" s="539"/>
      <c r="I14" s="539"/>
      <c r="J14" s="539"/>
      <c r="K14" s="539"/>
      <c r="L14" s="167"/>
      <c r="M14" s="167"/>
      <c r="N14" s="167"/>
      <c r="O14" s="414"/>
      <c r="P14" s="414"/>
    </row>
    <row r="15" spans="1:16" x14ac:dyDescent="0.2">
      <c r="A15" s="551"/>
      <c r="B15" s="550"/>
      <c r="C15" s="586"/>
      <c r="D15" s="540"/>
      <c r="E15" s="539"/>
      <c r="F15" s="539"/>
      <c r="G15" s="539"/>
      <c r="H15" s="539"/>
      <c r="I15" s="539"/>
      <c r="J15" s="539"/>
      <c r="K15" s="539"/>
      <c r="L15" s="167"/>
      <c r="M15" s="167"/>
      <c r="N15" s="167"/>
      <c r="O15" s="414"/>
      <c r="P15" s="414"/>
    </row>
    <row r="16" spans="1:16" x14ac:dyDescent="0.2">
      <c r="A16" s="551"/>
      <c r="B16" s="550"/>
      <c r="C16" s="553"/>
      <c r="D16" s="540"/>
      <c r="E16" s="539"/>
      <c r="F16" s="539"/>
      <c r="G16" s="539"/>
      <c r="H16" s="539"/>
      <c r="I16" s="539"/>
      <c r="J16" s="539"/>
      <c r="K16" s="539"/>
      <c r="O16" s="414"/>
      <c r="P16" s="414"/>
    </row>
    <row r="17" spans="1:16" x14ac:dyDescent="0.2">
      <c r="A17" s="551"/>
      <c r="B17" s="550"/>
      <c r="C17" s="553"/>
      <c r="D17" s="540"/>
      <c r="E17" s="539"/>
      <c r="F17" s="539"/>
      <c r="G17" s="539"/>
      <c r="H17" s="539"/>
      <c r="I17" s="539"/>
      <c r="J17" s="539"/>
      <c r="K17" s="539"/>
      <c r="O17" s="414"/>
      <c r="P17" s="414"/>
    </row>
    <row r="18" spans="1:16" x14ac:dyDescent="0.2">
      <c r="A18" s="551"/>
      <c r="B18" s="550"/>
      <c r="C18" s="553"/>
      <c r="D18" s="540"/>
      <c r="E18" s="539"/>
      <c r="F18" s="539"/>
      <c r="G18" s="539"/>
      <c r="H18" s="539"/>
      <c r="I18" s="539"/>
      <c r="J18" s="539"/>
      <c r="K18" s="539"/>
      <c r="O18" s="414"/>
      <c r="P18" s="414"/>
    </row>
    <row r="19" spans="1:16" x14ac:dyDescent="0.2">
      <c r="A19" s="551"/>
      <c r="B19" s="550"/>
      <c r="C19" s="553"/>
      <c r="D19" s="540"/>
      <c r="E19" s="539"/>
      <c r="F19" s="539"/>
      <c r="G19" s="539"/>
      <c r="H19" s="539"/>
      <c r="I19" s="539"/>
      <c r="J19" s="539"/>
      <c r="K19" s="539"/>
      <c r="O19" s="414"/>
      <c r="P19" s="414"/>
    </row>
    <row r="20" spans="1:16" x14ac:dyDescent="0.2">
      <c r="A20" s="551"/>
      <c r="B20" s="550"/>
      <c r="C20" s="553"/>
      <c r="D20" s="540"/>
      <c r="E20" s="539"/>
      <c r="F20" s="539"/>
      <c r="G20" s="539"/>
      <c r="H20" s="539"/>
      <c r="I20" s="539"/>
      <c r="J20" s="539"/>
      <c r="K20" s="539"/>
      <c r="O20" s="414"/>
      <c r="P20" s="414"/>
    </row>
    <row r="21" spans="1:16" x14ac:dyDescent="0.2">
      <c r="A21" s="551"/>
      <c r="B21" s="550"/>
      <c r="C21" s="553"/>
      <c r="D21" s="540"/>
      <c r="E21" s="539"/>
      <c r="F21" s="539"/>
      <c r="G21" s="539"/>
      <c r="H21" s="539"/>
      <c r="I21" s="539"/>
      <c r="J21" s="539"/>
      <c r="K21" s="539"/>
      <c r="O21" s="414"/>
      <c r="P21" s="414"/>
    </row>
    <row r="22" spans="1:16" ht="12" customHeight="1" x14ac:dyDescent="0.2">
      <c r="A22" s="551"/>
      <c r="B22" s="550"/>
      <c r="C22" s="553"/>
      <c r="D22" s="540"/>
      <c r="E22" s="539"/>
      <c r="F22" s="539"/>
      <c r="G22" s="539"/>
      <c r="H22" s="539"/>
      <c r="I22" s="539"/>
      <c r="J22" s="539"/>
      <c r="K22" s="539"/>
      <c r="O22" s="414"/>
      <c r="P22" s="414"/>
    </row>
    <row r="23" spans="1:16" x14ac:dyDescent="0.2">
      <c r="A23" s="551"/>
      <c r="B23" s="550"/>
      <c r="C23" s="553"/>
      <c r="D23" s="540"/>
      <c r="E23" s="539"/>
      <c r="F23" s="539"/>
      <c r="G23" s="539"/>
      <c r="H23" s="539"/>
      <c r="I23" s="539"/>
      <c r="J23" s="539"/>
      <c r="K23" s="539"/>
      <c r="O23" s="414"/>
      <c r="P23" s="414"/>
    </row>
    <row r="24" spans="1:16" x14ac:dyDescent="0.2">
      <c r="A24" s="551"/>
      <c r="B24" s="550"/>
      <c r="C24" s="609"/>
      <c r="D24" s="540"/>
      <c r="E24" s="539"/>
      <c r="F24" s="539"/>
      <c r="G24" s="539"/>
      <c r="H24" s="539"/>
      <c r="I24" s="539"/>
      <c r="J24" s="539"/>
      <c r="K24" s="539"/>
      <c r="O24" s="414"/>
      <c r="P24" s="414"/>
    </row>
    <row r="25" spans="1:16" x14ac:dyDescent="0.2">
      <c r="A25" s="551"/>
      <c r="B25" s="550"/>
      <c r="C25" s="553"/>
      <c r="D25" s="540"/>
      <c r="E25" s="539"/>
      <c r="F25" s="539"/>
      <c r="G25" s="539"/>
      <c r="H25" s="539"/>
      <c r="I25" s="539"/>
      <c r="J25" s="539"/>
      <c r="K25" s="539"/>
      <c r="O25" s="414"/>
      <c r="P25" s="414"/>
    </row>
    <row r="26" spans="1:16" x14ac:dyDescent="0.2">
      <c r="A26" s="551"/>
      <c r="B26" s="550"/>
      <c r="C26" s="553"/>
      <c r="D26" s="540"/>
      <c r="E26" s="539"/>
      <c r="F26" s="539"/>
      <c r="G26" s="539"/>
      <c r="H26" s="539"/>
      <c r="I26" s="539"/>
      <c r="J26" s="539"/>
      <c r="K26" s="539"/>
      <c r="L26" s="167"/>
      <c r="M26" s="167"/>
      <c r="N26" s="167"/>
      <c r="O26" s="414"/>
      <c r="P26" s="414"/>
    </row>
    <row r="27" spans="1:16" x14ac:dyDescent="0.2">
      <c r="A27" s="551"/>
      <c r="B27" s="550"/>
      <c r="C27" s="554"/>
      <c r="D27" s="540"/>
      <c r="E27" s="395"/>
      <c r="F27" s="395"/>
      <c r="G27" s="395"/>
      <c r="H27" s="395"/>
      <c r="I27" s="395"/>
      <c r="J27" s="395"/>
      <c r="K27" s="395"/>
      <c r="O27" s="414"/>
      <c r="P27" s="414"/>
    </row>
    <row r="28" spans="1:16" x14ac:dyDescent="0.2">
      <c r="A28" s="551"/>
      <c r="B28" s="550"/>
      <c r="C28" s="552"/>
      <c r="D28" s="540"/>
      <c r="E28" s="395"/>
      <c r="F28" s="395"/>
      <c r="G28" s="395"/>
      <c r="H28" s="395"/>
      <c r="I28" s="395"/>
      <c r="J28" s="395"/>
      <c r="K28" s="395"/>
      <c r="L28" s="167"/>
      <c r="M28" s="167"/>
      <c r="N28" s="167"/>
      <c r="O28" s="414"/>
      <c r="P28" s="414"/>
    </row>
    <row r="29" spans="1:16" x14ac:dyDescent="0.2">
      <c r="A29" s="413"/>
      <c r="B29" s="167"/>
      <c r="C29" s="552"/>
      <c r="D29" s="540"/>
      <c r="E29" s="395"/>
      <c r="F29" s="395"/>
      <c r="G29" s="395"/>
      <c r="H29" s="395"/>
      <c r="I29" s="395"/>
      <c r="J29" s="395"/>
      <c r="K29" s="395"/>
      <c r="L29" s="167"/>
      <c r="M29" s="167"/>
      <c r="N29" s="167"/>
      <c r="O29" s="414"/>
      <c r="P29" s="414"/>
    </row>
    <row r="30" spans="1:16" x14ac:dyDescent="0.2">
      <c r="A30" s="413"/>
      <c r="B30" s="167"/>
      <c r="C30" s="592"/>
      <c r="D30" s="540"/>
      <c r="E30" s="395"/>
      <c r="F30" s="395"/>
      <c r="G30" s="395"/>
      <c r="H30" s="395"/>
      <c r="I30" s="395"/>
      <c r="J30" s="395"/>
      <c r="K30" s="395"/>
      <c r="L30" s="167"/>
      <c r="M30" s="167"/>
      <c r="N30" s="167"/>
      <c r="O30" s="414"/>
      <c r="P30" s="414"/>
    </row>
    <row r="31" spans="1:16" x14ac:dyDescent="0.2">
      <c r="A31" s="413"/>
      <c r="B31" s="167"/>
      <c r="C31" s="544"/>
      <c r="D31" s="555"/>
      <c r="E31" s="395"/>
      <c r="F31" s="395"/>
      <c r="G31" s="395"/>
      <c r="H31" s="395"/>
      <c r="I31" s="395"/>
      <c r="J31" s="395"/>
      <c r="K31" s="395"/>
      <c r="L31" s="167"/>
      <c r="M31" s="167"/>
      <c r="N31" s="167"/>
      <c r="O31" s="414"/>
      <c r="P31" s="414"/>
    </row>
    <row r="32" spans="1:16" x14ac:dyDescent="0.2">
      <c r="A32" s="413"/>
      <c r="B32" s="167"/>
      <c r="C32" s="251"/>
      <c r="D32" s="167"/>
      <c r="E32" s="167"/>
      <c r="F32" s="167"/>
      <c r="G32" s="167"/>
      <c r="H32" s="167"/>
      <c r="I32" s="167"/>
      <c r="J32" s="167"/>
      <c r="K32" s="167" t="s">
        <v>301</v>
      </c>
      <c r="L32" s="167"/>
      <c r="M32" s="167"/>
      <c r="N32" s="167"/>
      <c r="O32" s="414"/>
      <c r="P32" s="414"/>
    </row>
    <row r="33" spans="1:16" x14ac:dyDescent="0.2">
      <c r="A33" s="413"/>
      <c r="B33" s="167"/>
      <c r="C33" s="251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414"/>
      <c r="P33" s="414"/>
    </row>
  </sheetData>
  <autoFilter ref="A1:N11" xr:uid="{00000000-0009-0000-0000-000002000000}">
    <sortState xmlns:xlrd2="http://schemas.microsoft.com/office/spreadsheetml/2017/richdata2" ref="A2:N11">
      <sortCondition ref="A1:A11"/>
    </sortState>
  </autoFilter>
  <pageMargins left="0.25" right="0.25" top="0.75" bottom="0.75" header="0.3" footer="0.3"/>
  <pageSetup paperSize="9"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pageSetUpPr fitToPage="1"/>
  </sheetPr>
  <dimension ref="A1:O30"/>
  <sheetViews>
    <sheetView topLeftCell="B1" zoomScale="80" zoomScaleNormal="80" workbookViewId="0">
      <pane ySplit="3" topLeftCell="A4" activePane="bottomLeft" state="frozen"/>
      <selection activeCell="C14" sqref="C14"/>
      <selection pane="bottomLeft" activeCell="P1" sqref="P1:Z1048576"/>
    </sheetView>
  </sheetViews>
  <sheetFormatPr baseColWidth="10" defaultColWidth="9.1640625" defaultRowHeight="15" x14ac:dyDescent="0.2"/>
  <cols>
    <col min="1" max="1" width="6.6640625" style="312" bestFit="1" customWidth="1"/>
    <col min="2" max="2" width="59.83203125" style="324" bestFit="1" customWidth="1"/>
    <col min="3" max="3" width="5.5" style="312" bestFit="1" customWidth="1"/>
    <col min="4" max="4" width="4.33203125" style="312" bestFit="1" customWidth="1"/>
    <col min="5" max="8" width="6.83203125" style="312" customWidth="1"/>
    <col min="9" max="9" width="5.6640625" style="312" bestFit="1" customWidth="1"/>
    <col min="10" max="10" width="14.5" style="312" customWidth="1"/>
    <col min="11" max="11" width="18.6640625" style="312" bestFit="1" customWidth="1"/>
    <col min="12" max="12" width="16.1640625" style="312" bestFit="1" customWidth="1"/>
    <col min="13" max="13" width="13.1640625" style="312" bestFit="1" customWidth="1"/>
    <col min="14" max="14" width="8.6640625" style="312" bestFit="1" customWidth="1"/>
    <col min="15" max="15" width="18" style="312" bestFit="1" customWidth="1"/>
    <col min="16" max="16384" width="9.1640625" style="312"/>
  </cols>
  <sheetData>
    <row r="1" spans="1:15" ht="30" customHeight="1" x14ac:dyDescent="0.2">
      <c r="A1" s="587" t="s">
        <v>340</v>
      </c>
      <c r="B1" s="588"/>
      <c r="C1" s="588"/>
      <c r="D1" s="588"/>
      <c r="E1" s="588"/>
      <c r="F1" s="588"/>
      <c r="G1" s="588"/>
      <c r="H1" s="588"/>
      <c r="I1" s="588"/>
      <c r="J1" s="588"/>
      <c r="K1"/>
      <c r="L1"/>
      <c r="M1"/>
      <c r="N1"/>
      <c r="O1"/>
    </row>
    <row r="2" spans="1:15" s="324" customFormat="1" ht="18" x14ac:dyDescent="0.2">
      <c r="A2" s="724" t="s">
        <v>508</v>
      </c>
      <c r="B2" s="724" t="s">
        <v>509</v>
      </c>
      <c r="C2" s="726" t="s">
        <v>52</v>
      </c>
      <c r="D2" s="727"/>
      <c r="E2" s="726" t="s">
        <v>398</v>
      </c>
      <c r="F2" s="727"/>
      <c r="G2" s="726" t="s">
        <v>399</v>
      </c>
      <c r="H2" s="727"/>
      <c r="I2" s="728" t="s">
        <v>6</v>
      </c>
      <c r="J2" s="728" t="s">
        <v>490</v>
      </c>
      <c r="K2" s="724" t="s">
        <v>3</v>
      </c>
      <c r="L2" s="724" t="s">
        <v>269</v>
      </c>
      <c r="M2" s="724" t="s">
        <v>507</v>
      </c>
      <c r="N2" s="724" t="s">
        <v>11</v>
      </c>
      <c r="O2" s="724" t="s">
        <v>12</v>
      </c>
    </row>
    <row r="3" spans="1:15" s="324" customFormat="1" ht="18" x14ac:dyDescent="0.2">
      <c r="A3" s="725"/>
      <c r="B3" s="724"/>
      <c r="C3" s="293" t="s">
        <v>4</v>
      </c>
      <c r="D3" s="293" t="s">
        <v>5</v>
      </c>
      <c r="E3" s="293" t="s">
        <v>4</v>
      </c>
      <c r="F3" s="293" t="s">
        <v>5</v>
      </c>
      <c r="G3" s="293" t="s">
        <v>4</v>
      </c>
      <c r="H3" s="293" t="s">
        <v>5</v>
      </c>
      <c r="I3" s="729"/>
      <c r="J3" s="730"/>
      <c r="K3" s="724"/>
      <c r="L3" s="724"/>
      <c r="M3" s="724"/>
      <c r="N3" s="724"/>
      <c r="O3" s="724"/>
    </row>
    <row r="4" spans="1:15" ht="17" x14ac:dyDescent="0.2">
      <c r="A4" s="298" t="s">
        <v>314</v>
      </c>
      <c r="B4" s="335" t="s">
        <v>801</v>
      </c>
      <c r="C4" s="299">
        <v>16</v>
      </c>
      <c r="D4" s="299">
        <v>10</v>
      </c>
      <c r="E4" s="299">
        <v>189.5</v>
      </c>
      <c r="F4" s="299">
        <v>121.5</v>
      </c>
      <c r="G4" s="299">
        <v>188.5</v>
      </c>
      <c r="H4" s="299">
        <v>120.5</v>
      </c>
      <c r="I4" s="285">
        <v>1</v>
      </c>
      <c r="J4" s="285">
        <f>C4*D4</f>
        <v>160</v>
      </c>
      <c r="K4" s="300" t="s">
        <v>315</v>
      </c>
      <c r="L4" s="286" t="s">
        <v>731</v>
      </c>
      <c r="M4" s="296">
        <f>J4*200</f>
        <v>32000</v>
      </c>
      <c r="N4" s="296">
        <f>J4*250</f>
        <v>40000</v>
      </c>
      <c r="O4" s="296">
        <f>J4*300</f>
        <v>48000</v>
      </c>
    </row>
    <row r="5" spans="1:15" ht="17" x14ac:dyDescent="0.2">
      <c r="A5" s="298" t="s">
        <v>316</v>
      </c>
      <c r="B5" s="455" t="s">
        <v>802</v>
      </c>
      <c r="C5" s="299">
        <v>16</v>
      </c>
      <c r="D5" s="299">
        <v>10</v>
      </c>
      <c r="E5" s="299">
        <v>198.5</v>
      </c>
      <c r="F5" s="299">
        <v>121.5</v>
      </c>
      <c r="G5" s="299">
        <v>192.5</v>
      </c>
      <c r="H5" s="299">
        <v>120.5</v>
      </c>
      <c r="I5" s="285">
        <v>1</v>
      </c>
      <c r="J5" s="285">
        <f t="shared" ref="J5:J26" si="0">C5*D5</f>
        <v>160</v>
      </c>
      <c r="K5" s="300" t="s">
        <v>315</v>
      </c>
      <c r="L5" s="286" t="s">
        <v>731</v>
      </c>
      <c r="M5" s="296">
        <f t="shared" ref="M5:M26" si="1">J5*200</f>
        <v>32000</v>
      </c>
      <c r="N5" s="296">
        <f t="shared" ref="N5:N26" si="2">J5*250</f>
        <v>40000</v>
      </c>
      <c r="O5" s="296">
        <f>J5*300</f>
        <v>48000</v>
      </c>
    </row>
    <row r="6" spans="1:15" ht="17" x14ac:dyDescent="0.2">
      <c r="A6" s="232" t="s">
        <v>317</v>
      </c>
      <c r="B6" s="425" t="s">
        <v>803</v>
      </c>
      <c r="C6" s="301">
        <v>11</v>
      </c>
      <c r="D6" s="301">
        <v>6</v>
      </c>
      <c r="E6" s="301"/>
      <c r="F6" s="301"/>
      <c r="G6" s="301"/>
      <c r="H6" s="301"/>
      <c r="I6" s="285">
        <v>1</v>
      </c>
      <c r="J6" s="285">
        <f t="shared" si="0"/>
        <v>66</v>
      </c>
      <c r="K6" s="302" t="s">
        <v>315</v>
      </c>
      <c r="L6" s="286" t="s">
        <v>731</v>
      </c>
      <c r="M6" s="296">
        <f t="shared" si="1"/>
        <v>13200</v>
      </c>
      <c r="N6" s="296">
        <f t="shared" si="2"/>
        <v>16500</v>
      </c>
      <c r="O6" s="296">
        <v>8000</v>
      </c>
    </row>
    <row r="7" spans="1:15" ht="34" x14ac:dyDescent="0.2">
      <c r="A7" s="476" t="s">
        <v>318</v>
      </c>
      <c r="B7" s="454" t="s">
        <v>804</v>
      </c>
      <c r="C7" s="301">
        <v>5</v>
      </c>
      <c r="D7" s="301">
        <v>5</v>
      </c>
      <c r="E7" s="473">
        <v>61.5</v>
      </c>
      <c r="F7" s="473">
        <v>61.5</v>
      </c>
      <c r="G7" s="473">
        <v>60.5</v>
      </c>
      <c r="H7" s="473">
        <v>60.5</v>
      </c>
      <c r="I7" s="287">
        <v>1</v>
      </c>
      <c r="J7" s="287">
        <f t="shared" si="0"/>
        <v>25</v>
      </c>
      <c r="K7" s="302" t="s">
        <v>315</v>
      </c>
      <c r="L7" s="286" t="s">
        <v>731</v>
      </c>
      <c r="M7" s="320">
        <f t="shared" si="1"/>
        <v>5000</v>
      </c>
      <c r="N7" s="320">
        <v>6500</v>
      </c>
      <c r="O7" s="320">
        <v>8000</v>
      </c>
    </row>
    <row r="8" spans="1:15" ht="17" x14ac:dyDescent="0.2">
      <c r="A8" s="298" t="s">
        <v>320</v>
      </c>
      <c r="B8" s="335" t="s">
        <v>805</v>
      </c>
      <c r="C8" s="288">
        <v>4</v>
      </c>
      <c r="D8" s="288">
        <v>6</v>
      </c>
      <c r="E8" s="288">
        <v>49.5</v>
      </c>
      <c r="F8" s="288">
        <v>73.5</v>
      </c>
      <c r="G8" s="288">
        <v>48.5</v>
      </c>
      <c r="H8" s="288">
        <v>72.5</v>
      </c>
      <c r="I8" s="285">
        <v>1</v>
      </c>
      <c r="J8" s="285">
        <f t="shared" si="0"/>
        <v>24</v>
      </c>
      <c r="K8" s="300" t="s">
        <v>315</v>
      </c>
      <c r="L8" s="286" t="s">
        <v>731</v>
      </c>
      <c r="M8" s="296">
        <f t="shared" si="1"/>
        <v>4800</v>
      </c>
      <c r="N8" s="296">
        <f t="shared" si="2"/>
        <v>6000</v>
      </c>
      <c r="O8" s="296">
        <v>8000</v>
      </c>
    </row>
    <row r="9" spans="1:15" ht="17" x14ac:dyDescent="0.2">
      <c r="A9" s="476" t="s">
        <v>321</v>
      </c>
      <c r="B9" s="454" t="s">
        <v>806</v>
      </c>
      <c r="C9" s="301">
        <v>6</v>
      </c>
      <c r="D9" s="301">
        <v>4</v>
      </c>
      <c r="E9" s="473"/>
      <c r="F9" s="473"/>
      <c r="G9" s="473"/>
      <c r="H9" s="473"/>
      <c r="I9" s="287">
        <v>1</v>
      </c>
      <c r="J9" s="287">
        <f t="shared" si="0"/>
        <v>24</v>
      </c>
      <c r="K9" s="302" t="s">
        <v>319</v>
      </c>
      <c r="L9" s="286" t="s">
        <v>731</v>
      </c>
      <c r="M9" s="320">
        <f t="shared" si="1"/>
        <v>4800</v>
      </c>
      <c r="N9" s="320">
        <f t="shared" si="2"/>
        <v>6000</v>
      </c>
      <c r="O9" s="320">
        <v>20000</v>
      </c>
    </row>
    <row r="10" spans="1:15" ht="17" x14ac:dyDescent="0.2">
      <c r="A10" s="232" t="s">
        <v>322</v>
      </c>
      <c r="B10" s="454" t="s">
        <v>806</v>
      </c>
      <c r="C10" s="301">
        <v>6</v>
      </c>
      <c r="D10" s="301">
        <v>4</v>
      </c>
      <c r="E10" s="301"/>
      <c r="F10" s="301"/>
      <c r="G10" s="301"/>
      <c r="H10" s="301"/>
      <c r="I10" s="287">
        <v>1</v>
      </c>
      <c r="J10" s="287">
        <f t="shared" si="0"/>
        <v>24</v>
      </c>
      <c r="K10" s="302" t="s">
        <v>319</v>
      </c>
      <c r="L10" s="286" t="s">
        <v>731</v>
      </c>
      <c r="M10" s="320">
        <f t="shared" si="1"/>
        <v>4800</v>
      </c>
      <c r="N10" s="320">
        <f t="shared" si="2"/>
        <v>6000</v>
      </c>
      <c r="O10" s="320">
        <v>8000</v>
      </c>
    </row>
    <row r="11" spans="1:15" ht="17" x14ac:dyDescent="0.2">
      <c r="A11" s="232" t="s">
        <v>323</v>
      </c>
      <c r="B11" s="455" t="s">
        <v>805</v>
      </c>
      <c r="C11" s="301">
        <v>4</v>
      </c>
      <c r="D11" s="301">
        <v>6</v>
      </c>
      <c r="E11" s="301"/>
      <c r="F11" s="301"/>
      <c r="G11" s="301"/>
      <c r="H11" s="301"/>
      <c r="I11" s="287">
        <v>1</v>
      </c>
      <c r="J11" s="287">
        <f t="shared" si="0"/>
        <v>24</v>
      </c>
      <c r="K11" s="302" t="s">
        <v>315</v>
      </c>
      <c r="L11" s="286" t="s">
        <v>731</v>
      </c>
      <c r="M11" s="320">
        <f t="shared" si="1"/>
        <v>4800</v>
      </c>
      <c r="N11" s="320">
        <f t="shared" si="2"/>
        <v>6000</v>
      </c>
      <c r="O11" s="320">
        <v>8000</v>
      </c>
    </row>
    <row r="12" spans="1:15" ht="34" x14ac:dyDescent="0.2">
      <c r="A12" s="232" t="s">
        <v>324</v>
      </c>
      <c r="B12" s="456" t="s">
        <v>807</v>
      </c>
      <c r="C12" s="301">
        <v>8</v>
      </c>
      <c r="D12" s="301">
        <v>4</v>
      </c>
      <c r="E12" s="301">
        <v>97.5</v>
      </c>
      <c r="F12" s="301">
        <v>49.5</v>
      </c>
      <c r="G12" s="301">
        <v>96.5</v>
      </c>
      <c r="H12" s="301">
        <v>48.5</v>
      </c>
      <c r="I12" s="287">
        <v>1</v>
      </c>
      <c r="J12" s="287">
        <f t="shared" si="0"/>
        <v>32</v>
      </c>
      <c r="K12" s="302" t="s">
        <v>319</v>
      </c>
      <c r="L12" s="286" t="s">
        <v>731</v>
      </c>
      <c r="M12" s="320">
        <f t="shared" si="1"/>
        <v>6400</v>
      </c>
      <c r="N12" s="320">
        <f t="shared" si="2"/>
        <v>8000</v>
      </c>
      <c r="O12" s="320">
        <v>20000</v>
      </c>
    </row>
    <row r="13" spans="1:15" ht="17" x14ac:dyDescent="0.2">
      <c r="A13" s="232" t="s">
        <v>325</v>
      </c>
      <c r="B13" s="456" t="s">
        <v>808</v>
      </c>
      <c r="C13" s="301">
        <v>10</v>
      </c>
      <c r="D13" s="301">
        <v>6</v>
      </c>
      <c r="E13" s="301">
        <v>121.5</v>
      </c>
      <c r="F13" s="301">
        <v>73.5</v>
      </c>
      <c r="G13" s="301">
        <v>120.5</v>
      </c>
      <c r="H13" s="301">
        <v>72.5</v>
      </c>
      <c r="I13" s="287">
        <v>1</v>
      </c>
      <c r="J13" s="287">
        <f t="shared" si="0"/>
        <v>60</v>
      </c>
      <c r="K13" s="302" t="s">
        <v>315</v>
      </c>
      <c r="L13" s="286" t="s">
        <v>731</v>
      </c>
      <c r="M13" s="320">
        <f t="shared" si="1"/>
        <v>12000</v>
      </c>
      <c r="N13" s="320">
        <f t="shared" si="2"/>
        <v>15000</v>
      </c>
      <c r="O13" s="320">
        <v>20000</v>
      </c>
    </row>
    <row r="14" spans="1:15" ht="34" x14ac:dyDescent="0.2">
      <c r="A14" s="232" t="s">
        <v>326</v>
      </c>
      <c r="B14" s="456" t="s">
        <v>809</v>
      </c>
      <c r="C14" s="301">
        <v>8</v>
      </c>
      <c r="D14" s="301">
        <v>4</v>
      </c>
      <c r="E14" s="301">
        <v>97.5</v>
      </c>
      <c r="F14" s="301">
        <v>49.5</v>
      </c>
      <c r="G14" s="301">
        <v>96.5</v>
      </c>
      <c r="H14" s="301">
        <v>48.5</v>
      </c>
      <c r="I14" s="287">
        <v>1</v>
      </c>
      <c r="J14" s="287">
        <f t="shared" si="0"/>
        <v>32</v>
      </c>
      <c r="K14" s="302" t="s">
        <v>315</v>
      </c>
      <c r="L14" s="286" t="s">
        <v>731</v>
      </c>
      <c r="M14" s="320">
        <f t="shared" si="1"/>
        <v>6400</v>
      </c>
      <c r="N14" s="320">
        <v>8000</v>
      </c>
      <c r="O14" s="320">
        <v>20000</v>
      </c>
    </row>
    <row r="15" spans="1:15" ht="34" x14ac:dyDescent="0.2">
      <c r="A15" s="476" t="s">
        <v>327</v>
      </c>
      <c r="B15" s="456" t="s">
        <v>810</v>
      </c>
      <c r="C15" s="301">
        <v>8</v>
      </c>
      <c r="D15" s="301">
        <v>4</v>
      </c>
      <c r="E15" s="473">
        <v>97.5</v>
      </c>
      <c r="F15" s="473">
        <v>49.5</v>
      </c>
      <c r="G15" s="473">
        <v>96.5</v>
      </c>
      <c r="H15" s="473">
        <v>48.5</v>
      </c>
      <c r="I15" s="287">
        <v>1</v>
      </c>
      <c r="J15" s="287">
        <f t="shared" si="0"/>
        <v>32</v>
      </c>
      <c r="K15" s="302" t="s">
        <v>319</v>
      </c>
      <c r="L15" s="286" t="s">
        <v>731</v>
      </c>
      <c r="M15" s="320">
        <f t="shared" si="1"/>
        <v>6400</v>
      </c>
      <c r="N15" s="320">
        <f t="shared" si="2"/>
        <v>8000</v>
      </c>
      <c r="O15" s="320">
        <v>20000</v>
      </c>
    </row>
    <row r="16" spans="1:15" ht="17" x14ac:dyDescent="0.2">
      <c r="A16" s="232" t="s">
        <v>328</v>
      </c>
      <c r="B16" s="456" t="s">
        <v>811</v>
      </c>
      <c r="C16" s="301">
        <v>5</v>
      </c>
      <c r="D16" s="301">
        <v>6</v>
      </c>
      <c r="E16" s="473">
        <v>61.5</v>
      </c>
      <c r="F16" s="473">
        <v>73.5</v>
      </c>
      <c r="G16" s="473">
        <v>60.5</v>
      </c>
      <c r="H16" s="473">
        <v>72.5</v>
      </c>
      <c r="I16" s="287">
        <v>1</v>
      </c>
      <c r="J16" s="287">
        <f t="shared" si="0"/>
        <v>30</v>
      </c>
      <c r="K16" s="302" t="s">
        <v>319</v>
      </c>
      <c r="L16" s="286" t="s">
        <v>731</v>
      </c>
      <c r="M16" s="320">
        <f t="shared" si="1"/>
        <v>6000</v>
      </c>
      <c r="N16" s="320">
        <v>8000</v>
      </c>
      <c r="O16" s="320">
        <v>20000</v>
      </c>
    </row>
    <row r="17" spans="1:15" ht="34" x14ac:dyDescent="0.2">
      <c r="A17" s="232" t="s">
        <v>329</v>
      </c>
      <c r="B17" s="456" t="s">
        <v>812</v>
      </c>
      <c r="C17" s="301">
        <v>8</v>
      </c>
      <c r="D17" s="301">
        <v>4</v>
      </c>
      <c r="E17" s="301">
        <v>97.5</v>
      </c>
      <c r="F17" s="301">
        <v>49.5</v>
      </c>
      <c r="G17" s="301">
        <v>96.5</v>
      </c>
      <c r="H17" s="301">
        <v>48.5</v>
      </c>
      <c r="I17" s="287">
        <v>1</v>
      </c>
      <c r="J17" s="287">
        <f t="shared" si="0"/>
        <v>32</v>
      </c>
      <c r="K17" s="302" t="s">
        <v>319</v>
      </c>
      <c r="L17" s="286" t="s">
        <v>731</v>
      </c>
      <c r="M17" s="320">
        <f t="shared" si="1"/>
        <v>6400</v>
      </c>
      <c r="N17" s="320">
        <f t="shared" si="2"/>
        <v>8000</v>
      </c>
      <c r="O17" s="320">
        <v>20000</v>
      </c>
    </row>
    <row r="18" spans="1:15" ht="34" x14ac:dyDescent="0.2">
      <c r="A18" s="232" t="s">
        <v>330</v>
      </c>
      <c r="B18" s="456" t="s">
        <v>812</v>
      </c>
      <c r="C18" s="301">
        <v>8</v>
      </c>
      <c r="D18" s="301">
        <v>4</v>
      </c>
      <c r="E18" s="301">
        <v>97.5</v>
      </c>
      <c r="F18" s="301">
        <v>49.5</v>
      </c>
      <c r="G18" s="301">
        <v>96.5</v>
      </c>
      <c r="H18" s="301">
        <v>48.5</v>
      </c>
      <c r="I18" s="287">
        <v>1</v>
      </c>
      <c r="J18" s="287">
        <f t="shared" si="0"/>
        <v>32</v>
      </c>
      <c r="K18" s="302" t="s">
        <v>319</v>
      </c>
      <c r="L18" s="286" t="s">
        <v>731</v>
      </c>
      <c r="M18" s="320">
        <f t="shared" si="1"/>
        <v>6400</v>
      </c>
      <c r="N18" s="320">
        <f t="shared" si="2"/>
        <v>8000</v>
      </c>
      <c r="O18" s="320">
        <v>20000</v>
      </c>
    </row>
    <row r="19" spans="1:15" ht="17" x14ac:dyDescent="0.2">
      <c r="A19" s="232" t="s">
        <v>331</v>
      </c>
      <c r="B19" s="456" t="s">
        <v>813</v>
      </c>
      <c r="C19" s="301">
        <v>10</v>
      </c>
      <c r="D19" s="301">
        <v>6</v>
      </c>
      <c r="E19" s="301">
        <v>121.5</v>
      </c>
      <c r="F19" s="301">
        <v>73.5</v>
      </c>
      <c r="G19" s="301">
        <v>120.5</v>
      </c>
      <c r="H19" s="301">
        <v>72.5</v>
      </c>
      <c r="I19" s="287">
        <v>1</v>
      </c>
      <c r="J19" s="287">
        <f t="shared" si="0"/>
        <v>60</v>
      </c>
      <c r="K19" s="302" t="s">
        <v>315</v>
      </c>
      <c r="L19" s="286" t="s">
        <v>731</v>
      </c>
      <c r="M19" s="320">
        <f t="shared" si="1"/>
        <v>12000</v>
      </c>
      <c r="N19" s="320">
        <f t="shared" si="2"/>
        <v>15000</v>
      </c>
      <c r="O19" s="320">
        <v>20000</v>
      </c>
    </row>
    <row r="20" spans="1:15" ht="34" x14ac:dyDescent="0.2">
      <c r="A20" s="232" t="s">
        <v>332</v>
      </c>
      <c r="B20" s="456" t="s">
        <v>814</v>
      </c>
      <c r="C20" s="301">
        <v>6</v>
      </c>
      <c r="D20" s="301">
        <v>4</v>
      </c>
      <c r="E20" s="301">
        <v>73.5</v>
      </c>
      <c r="F20" s="301">
        <v>49.5</v>
      </c>
      <c r="G20" s="301">
        <v>72.5</v>
      </c>
      <c r="H20" s="301">
        <v>48.5</v>
      </c>
      <c r="I20" s="287">
        <v>1</v>
      </c>
      <c r="J20" s="287">
        <f t="shared" si="0"/>
        <v>24</v>
      </c>
      <c r="K20" s="302" t="s">
        <v>319</v>
      </c>
      <c r="L20" s="286" t="s">
        <v>731</v>
      </c>
      <c r="M20" s="320">
        <f t="shared" si="1"/>
        <v>4800</v>
      </c>
      <c r="N20" s="320">
        <f t="shared" si="2"/>
        <v>6000</v>
      </c>
      <c r="O20" s="320">
        <v>8000</v>
      </c>
    </row>
    <row r="21" spans="1:15" ht="34" x14ac:dyDescent="0.2">
      <c r="A21" s="232" t="s">
        <v>333</v>
      </c>
      <c r="B21" s="456" t="s">
        <v>815</v>
      </c>
      <c r="C21" s="301">
        <v>8</v>
      </c>
      <c r="D21" s="301">
        <v>4</v>
      </c>
      <c r="E21" s="301">
        <v>97.5</v>
      </c>
      <c r="F21" s="301">
        <v>49.5</v>
      </c>
      <c r="G21" s="301">
        <v>96.5</v>
      </c>
      <c r="H21" s="301">
        <v>48.5</v>
      </c>
      <c r="I21" s="287">
        <v>1</v>
      </c>
      <c r="J21" s="287">
        <f t="shared" si="0"/>
        <v>32</v>
      </c>
      <c r="K21" s="302" t="s">
        <v>315</v>
      </c>
      <c r="L21" s="286" t="s">
        <v>731</v>
      </c>
      <c r="M21" s="320">
        <f t="shared" si="1"/>
        <v>6400</v>
      </c>
      <c r="N21" s="320">
        <v>8000</v>
      </c>
      <c r="O21" s="320">
        <v>20000</v>
      </c>
    </row>
    <row r="22" spans="1:15" ht="34" x14ac:dyDescent="0.2">
      <c r="A22" s="232" t="s">
        <v>334</v>
      </c>
      <c r="B22" s="456" t="s">
        <v>815</v>
      </c>
      <c r="C22" s="301">
        <v>8</v>
      </c>
      <c r="D22" s="301">
        <v>4</v>
      </c>
      <c r="E22" s="301">
        <v>94.5</v>
      </c>
      <c r="F22" s="301">
        <v>49.5</v>
      </c>
      <c r="G22" s="301">
        <v>96.5</v>
      </c>
      <c r="H22" s="301">
        <v>48.5</v>
      </c>
      <c r="I22" s="287">
        <v>1</v>
      </c>
      <c r="J22" s="287">
        <f t="shared" si="0"/>
        <v>32</v>
      </c>
      <c r="K22" s="302" t="s">
        <v>319</v>
      </c>
      <c r="L22" s="286" t="s">
        <v>731</v>
      </c>
      <c r="M22" s="320">
        <f t="shared" si="1"/>
        <v>6400</v>
      </c>
      <c r="N22" s="320">
        <f t="shared" si="2"/>
        <v>8000</v>
      </c>
      <c r="O22" s="320">
        <v>20000</v>
      </c>
    </row>
    <row r="23" spans="1:15" ht="17" x14ac:dyDescent="0.2">
      <c r="A23" s="232" t="s">
        <v>335</v>
      </c>
      <c r="B23" s="456" t="s">
        <v>816</v>
      </c>
      <c r="C23" s="301">
        <v>5</v>
      </c>
      <c r="D23" s="301">
        <v>6</v>
      </c>
      <c r="E23" s="473">
        <v>61.5</v>
      </c>
      <c r="F23" s="473">
        <v>73.5</v>
      </c>
      <c r="G23" s="473">
        <v>60.5</v>
      </c>
      <c r="H23" s="473">
        <v>72.5</v>
      </c>
      <c r="I23" s="287">
        <v>1</v>
      </c>
      <c r="J23" s="287">
        <f t="shared" si="0"/>
        <v>30</v>
      </c>
      <c r="K23" s="302" t="s">
        <v>319</v>
      </c>
      <c r="L23" s="286" t="s">
        <v>731</v>
      </c>
      <c r="M23" s="320">
        <f>J23*200</f>
        <v>6000</v>
      </c>
      <c r="N23" s="320">
        <v>8000</v>
      </c>
      <c r="O23" s="320">
        <v>20000</v>
      </c>
    </row>
    <row r="24" spans="1:15" ht="34" x14ac:dyDescent="0.2">
      <c r="A24" s="232" t="s">
        <v>336</v>
      </c>
      <c r="B24" s="456" t="s">
        <v>817</v>
      </c>
      <c r="C24" s="301">
        <v>8</v>
      </c>
      <c r="D24" s="301">
        <v>4</v>
      </c>
      <c r="E24" s="301">
        <v>97.5</v>
      </c>
      <c r="F24" s="301">
        <v>49.5</v>
      </c>
      <c r="G24" s="301">
        <v>96.5</v>
      </c>
      <c r="H24" s="301">
        <v>48.5</v>
      </c>
      <c r="I24" s="287">
        <v>1</v>
      </c>
      <c r="J24" s="287">
        <f t="shared" si="0"/>
        <v>32</v>
      </c>
      <c r="K24" s="302" t="s">
        <v>319</v>
      </c>
      <c r="L24" s="286" t="s">
        <v>731</v>
      </c>
      <c r="M24" s="320">
        <f t="shared" si="1"/>
        <v>6400</v>
      </c>
      <c r="N24" s="320">
        <f t="shared" si="2"/>
        <v>8000</v>
      </c>
      <c r="O24" s="320">
        <v>20000</v>
      </c>
    </row>
    <row r="25" spans="1:15" ht="34" x14ac:dyDescent="0.2">
      <c r="A25" s="298" t="s">
        <v>337</v>
      </c>
      <c r="B25" s="336" t="s">
        <v>817</v>
      </c>
      <c r="C25" s="288">
        <v>8</v>
      </c>
      <c r="D25" s="288">
        <v>4</v>
      </c>
      <c r="E25" s="288">
        <v>97.5</v>
      </c>
      <c r="F25" s="288">
        <v>49.5</v>
      </c>
      <c r="G25" s="288">
        <v>96.5</v>
      </c>
      <c r="H25" s="288">
        <v>48.5</v>
      </c>
      <c r="I25" s="285">
        <v>1</v>
      </c>
      <c r="J25" s="285">
        <f t="shared" si="0"/>
        <v>32</v>
      </c>
      <c r="K25" s="303" t="s">
        <v>319</v>
      </c>
      <c r="L25" s="286" t="s">
        <v>731</v>
      </c>
      <c r="M25" s="296">
        <f t="shared" si="1"/>
        <v>6400</v>
      </c>
      <c r="N25" s="296">
        <f t="shared" si="2"/>
        <v>8000</v>
      </c>
      <c r="O25" s="296">
        <v>20000</v>
      </c>
    </row>
    <row r="26" spans="1:15" ht="34" x14ac:dyDescent="0.2">
      <c r="A26" s="232" t="s">
        <v>338</v>
      </c>
      <c r="B26" s="456" t="s">
        <v>818</v>
      </c>
      <c r="C26" s="301">
        <v>6</v>
      </c>
      <c r="D26" s="301">
        <v>4</v>
      </c>
      <c r="E26" s="473">
        <v>73.5</v>
      </c>
      <c r="F26" s="473">
        <v>49.5</v>
      </c>
      <c r="G26" s="473">
        <v>72.5</v>
      </c>
      <c r="H26" s="473">
        <v>48.5</v>
      </c>
      <c r="I26" s="287">
        <v>1</v>
      </c>
      <c r="J26" s="287">
        <f t="shared" si="0"/>
        <v>24</v>
      </c>
      <c r="K26" s="302" t="s">
        <v>315</v>
      </c>
      <c r="L26" s="286" t="s">
        <v>731</v>
      </c>
      <c r="M26" s="320">
        <f t="shared" si="1"/>
        <v>4800</v>
      </c>
      <c r="N26" s="320">
        <f t="shared" si="2"/>
        <v>6000</v>
      </c>
      <c r="O26" s="320">
        <v>8000</v>
      </c>
    </row>
    <row r="27" spans="1:15" ht="17" x14ac:dyDescent="0.2">
      <c r="A27" s="295"/>
      <c r="B27" s="337" t="s">
        <v>339</v>
      </c>
      <c r="C27" s="294"/>
      <c r="D27" s="294"/>
      <c r="E27" s="294"/>
      <c r="F27" s="294"/>
      <c r="G27" s="294"/>
      <c r="H27" s="294"/>
      <c r="I27" s="292">
        <f>SUM(I4:I26)</f>
        <v>23</v>
      </c>
      <c r="J27" s="285">
        <f>SUM(J4:J26)</f>
        <v>1023</v>
      </c>
      <c r="K27" s="297"/>
      <c r="L27" s="295"/>
      <c r="M27" s="311"/>
      <c r="N27" s="311"/>
      <c r="O27" s="311"/>
    </row>
    <row r="29" spans="1:15" x14ac:dyDescent="0.2">
      <c r="B29" s="547"/>
    </row>
    <row r="30" spans="1:15" x14ac:dyDescent="0.2">
      <c r="B30" s="547"/>
    </row>
  </sheetData>
  <autoFilter ref="A2:O3" xr:uid="{00000000-0001-0000-0900-000000000000}">
    <filterColumn colId="2" showButton="0"/>
    <filterColumn colId="4" showButton="0"/>
    <filterColumn colId="6" showButton="0"/>
  </autoFilter>
  <mergeCells count="12">
    <mergeCell ref="M2:M3"/>
    <mergeCell ref="N2:N3"/>
    <mergeCell ref="O2:O3"/>
    <mergeCell ref="A2:A3"/>
    <mergeCell ref="B2:B3"/>
    <mergeCell ref="K2:K3"/>
    <mergeCell ref="L2:L3"/>
    <mergeCell ref="C2:D2"/>
    <mergeCell ref="E2:F2"/>
    <mergeCell ref="G2:H2"/>
    <mergeCell ref="I2:I3"/>
    <mergeCell ref="J2:J3"/>
  </mergeCells>
  <pageMargins left="0.78740157480314965" right="0.11811023622047245" top="0" bottom="0" header="0.31496062992125984" footer="0.31496062992125984"/>
  <pageSetup paperSize="9" scale="88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R47"/>
  <sheetViews>
    <sheetView tabSelected="1" zoomScale="90" zoomScaleNormal="90" workbookViewId="0">
      <selection activeCell="M36" sqref="M36"/>
    </sheetView>
  </sheetViews>
  <sheetFormatPr baseColWidth="10" defaultColWidth="12.1640625" defaultRowHeight="15" x14ac:dyDescent="0.2"/>
  <cols>
    <col min="1" max="1" width="6.83203125" style="312" bestFit="1" customWidth="1"/>
    <col min="2" max="2" width="18.33203125" style="312" customWidth="1"/>
    <col min="3" max="3" width="61" style="312" bestFit="1" customWidth="1"/>
    <col min="4" max="4" width="12.83203125" style="312" customWidth="1"/>
    <col min="5" max="5" width="20.6640625" style="312" customWidth="1"/>
    <col min="6" max="6" width="4.5" style="312" customWidth="1"/>
    <col min="7" max="7" width="5.33203125" style="312" customWidth="1"/>
    <col min="8" max="8" width="5.83203125" style="312" customWidth="1"/>
    <col min="9" max="11" width="5.5" style="312" customWidth="1"/>
    <col min="12" max="12" width="5" style="312" customWidth="1"/>
    <col min="13" max="13" width="11.6640625" style="312" customWidth="1"/>
    <col min="14" max="15" width="12.83203125" style="312" customWidth="1"/>
    <col min="16" max="16" width="9.5" style="312" customWidth="1"/>
    <col min="17" max="17" width="9" style="312" customWidth="1"/>
    <col min="18" max="18" width="18.5" style="312" customWidth="1"/>
    <col min="19" max="16384" width="12.1640625" style="312"/>
  </cols>
  <sheetData>
    <row r="1" spans="1:18" s="352" customFormat="1" ht="15" customHeight="1" x14ac:dyDescent="0.2">
      <c r="A1" s="731" t="s">
        <v>0</v>
      </c>
      <c r="B1" s="732" t="s">
        <v>508</v>
      </c>
      <c r="C1" s="732" t="s">
        <v>95</v>
      </c>
      <c r="D1" s="732" t="s">
        <v>2</v>
      </c>
      <c r="E1" s="732" t="s">
        <v>3</v>
      </c>
      <c r="F1" s="732" t="s">
        <v>52</v>
      </c>
      <c r="G1" s="732"/>
      <c r="H1" s="734" t="s">
        <v>825</v>
      </c>
      <c r="I1" s="735"/>
      <c r="J1" s="734" t="s">
        <v>826</v>
      </c>
      <c r="K1" s="735"/>
      <c r="L1" s="732" t="s">
        <v>6</v>
      </c>
      <c r="M1" s="732" t="s">
        <v>268</v>
      </c>
      <c r="N1" s="738" t="s">
        <v>8</v>
      </c>
      <c r="O1" s="738" t="s">
        <v>9</v>
      </c>
      <c r="P1" s="736" t="s">
        <v>10</v>
      </c>
      <c r="Q1" s="736" t="s">
        <v>11</v>
      </c>
      <c r="R1" s="736" t="s">
        <v>270</v>
      </c>
    </row>
    <row r="2" spans="1:18" s="352" customFormat="1" ht="15" customHeight="1" x14ac:dyDescent="0.2">
      <c r="A2" s="731"/>
      <c r="B2" s="733"/>
      <c r="C2" s="732"/>
      <c r="D2" s="732"/>
      <c r="E2" s="732"/>
      <c r="F2" s="284" t="s">
        <v>4</v>
      </c>
      <c r="G2" s="284" t="s">
        <v>5</v>
      </c>
      <c r="H2" s="284" t="s">
        <v>4</v>
      </c>
      <c r="I2" s="284" t="s">
        <v>5</v>
      </c>
      <c r="J2" s="284" t="s">
        <v>4</v>
      </c>
      <c r="K2" s="284" t="s">
        <v>5</v>
      </c>
      <c r="L2" s="733"/>
      <c r="M2" s="732"/>
      <c r="N2" s="739"/>
      <c r="O2" s="739"/>
      <c r="P2" s="737"/>
      <c r="Q2" s="737"/>
      <c r="R2" s="737"/>
    </row>
    <row r="3" spans="1:18" ht="15.75" customHeight="1" x14ac:dyDescent="0.2">
      <c r="A3" s="536">
        <v>1</v>
      </c>
      <c r="B3" s="590" t="s">
        <v>272</v>
      </c>
      <c r="C3" s="683" t="s">
        <v>778</v>
      </c>
      <c r="D3" s="217" t="s">
        <v>355</v>
      </c>
      <c r="E3" s="499" t="s">
        <v>273</v>
      </c>
      <c r="F3" s="632">
        <v>8</v>
      </c>
      <c r="G3" s="632">
        <v>3</v>
      </c>
      <c r="H3" s="632">
        <v>92</v>
      </c>
      <c r="I3" s="632">
        <v>32</v>
      </c>
      <c r="J3" s="632">
        <v>88</v>
      </c>
      <c r="K3" s="632">
        <v>28</v>
      </c>
      <c r="L3" s="287">
        <v>1</v>
      </c>
      <c r="M3" s="287">
        <f>L3*G3*F3</f>
        <v>24</v>
      </c>
      <c r="N3" s="499">
        <v>21.141833999999999</v>
      </c>
      <c r="O3" s="499">
        <v>79.082149000000001</v>
      </c>
      <c r="P3" s="499">
        <f t="shared" ref="P3:P24" si="0">M3*250</f>
        <v>6000</v>
      </c>
      <c r="Q3" s="499">
        <v>10000</v>
      </c>
      <c r="R3" s="499">
        <v>12000</v>
      </c>
    </row>
    <row r="4" spans="1:18" ht="16" x14ac:dyDescent="0.2">
      <c r="A4" s="536">
        <v>2</v>
      </c>
      <c r="B4" s="590" t="s">
        <v>274</v>
      </c>
      <c r="C4" s="683" t="s">
        <v>779</v>
      </c>
      <c r="D4" s="217" t="s">
        <v>731</v>
      </c>
      <c r="E4" s="499" t="s">
        <v>273</v>
      </c>
      <c r="F4" s="287">
        <v>10</v>
      </c>
      <c r="G4" s="287">
        <v>5</v>
      </c>
      <c r="H4" s="287">
        <v>116</v>
      </c>
      <c r="I4" s="287">
        <v>56</v>
      </c>
      <c r="J4" s="287">
        <v>114</v>
      </c>
      <c r="K4" s="287">
        <v>51</v>
      </c>
      <c r="L4" s="287">
        <v>1</v>
      </c>
      <c r="M4" s="287">
        <f>L4*G4*F4</f>
        <v>50</v>
      </c>
      <c r="N4" s="499">
        <v>21.141833999999999</v>
      </c>
      <c r="O4" s="499">
        <v>79.082149000000001</v>
      </c>
      <c r="P4" s="499">
        <f t="shared" si="0"/>
        <v>12500</v>
      </c>
      <c r="Q4" s="499">
        <v>20000</v>
      </c>
      <c r="R4" s="499">
        <v>25000</v>
      </c>
    </row>
    <row r="5" spans="1:18" ht="16" x14ac:dyDescent="0.2">
      <c r="A5" s="536">
        <v>3</v>
      </c>
      <c r="B5" s="590" t="s">
        <v>275</v>
      </c>
      <c r="C5" s="683" t="s">
        <v>780</v>
      </c>
      <c r="D5" s="217" t="s">
        <v>731</v>
      </c>
      <c r="E5" s="499" t="s">
        <v>273</v>
      </c>
      <c r="F5" s="285">
        <v>8</v>
      </c>
      <c r="G5" s="285">
        <v>4</v>
      </c>
      <c r="H5" s="285">
        <v>93</v>
      </c>
      <c r="I5" s="285">
        <v>44</v>
      </c>
      <c r="J5" s="285">
        <v>89</v>
      </c>
      <c r="K5" s="285">
        <v>40</v>
      </c>
      <c r="L5" s="287">
        <v>1</v>
      </c>
      <c r="M5" s="287">
        <f>L5*G5*F5</f>
        <v>32</v>
      </c>
      <c r="N5" s="499">
        <v>21.141833999999999</v>
      </c>
      <c r="O5" s="499">
        <v>79.082149000000001</v>
      </c>
      <c r="P5" s="499">
        <f>M5*250</f>
        <v>8000</v>
      </c>
      <c r="Q5" s="499">
        <v>12000</v>
      </c>
      <c r="R5" s="499">
        <v>15000</v>
      </c>
    </row>
    <row r="6" spans="1:18" ht="16" x14ac:dyDescent="0.2">
      <c r="A6" s="536">
        <v>4</v>
      </c>
      <c r="B6" s="590" t="s">
        <v>276</v>
      </c>
      <c r="C6" s="591" t="s">
        <v>781</v>
      </c>
      <c r="D6" s="217" t="s">
        <v>355</v>
      </c>
      <c r="E6" s="499" t="s">
        <v>271</v>
      </c>
      <c r="F6" s="632">
        <v>8</v>
      </c>
      <c r="G6" s="632">
        <v>6</v>
      </c>
      <c r="H6" s="632">
        <v>93</v>
      </c>
      <c r="I6" s="632">
        <v>69</v>
      </c>
      <c r="J6" s="632">
        <v>92</v>
      </c>
      <c r="K6" s="632">
        <v>68</v>
      </c>
      <c r="L6" s="287">
        <v>1</v>
      </c>
      <c r="M6" s="287">
        <v>48</v>
      </c>
      <c r="N6" s="499">
        <v>21.141833999999999</v>
      </c>
      <c r="O6" s="499">
        <v>79.082149000000001</v>
      </c>
      <c r="P6" s="499">
        <v>12000</v>
      </c>
      <c r="Q6" s="499">
        <v>18000</v>
      </c>
      <c r="R6" s="499">
        <v>22000</v>
      </c>
    </row>
    <row r="7" spans="1:18" ht="16" x14ac:dyDescent="0.2">
      <c r="A7" s="536">
        <v>5</v>
      </c>
      <c r="B7" s="590" t="s">
        <v>277</v>
      </c>
      <c r="C7" s="683" t="s">
        <v>782</v>
      </c>
      <c r="D7" s="217" t="s">
        <v>355</v>
      </c>
      <c r="E7" s="499" t="s">
        <v>271</v>
      </c>
      <c r="F7" s="632">
        <v>8</v>
      </c>
      <c r="G7" s="632">
        <v>6</v>
      </c>
      <c r="H7" s="632">
        <v>93</v>
      </c>
      <c r="I7" s="632">
        <v>69</v>
      </c>
      <c r="J7" s="632">
        <v>92</v>
      </c>
      <c r="K7" s="632">
        <v>68</v>
      </c>
      <c r="L7" s="287">
        <v>1</v>
      </c>
      <c r="M7" s="287">
        <f t="shared" ref="M7:M25" si="1">L7*G7*F7</f>
        <v>48</v>
      </c>
      <c r="N7" s="499">
        <v>21.141833999999999</v>
      </c>
      <c r="O7" s="499">
        <v>79.082149000000001</v>
      </c>
      <c r="P7" s="499">
        <f>M7*250</f>
        <v>12000</v>
      </c>
      <c r="Q7" s="499">
        <v>18000</v>
      </c>
      <c r="R7" s="499">
        <v>22000</v>
      </c>
    </row>
    <row r="8" spans="1:18" ht="16" x14ac:dyDescent="0.2">
      <c r="A8" s="536">
        <v>6</v>
      </c>
      <c r="B8" s="590" t="s">
        <v>278</v>
      </c>
      <c r="C8" s="683" t="s">
        <v>783</v>
      </c>
      <c r="D8" s="217" t="s">
        <v>355</v>
      </c>
      <c r="E8" s="499" t="s">
        <v>271</v>
      </c>
      <c r="F8" s="285">
        <v>8</v>
      </c>
      <c r="G8" s="285">
        <v>6</v>
      </c>
      <c r="H8" s="285">
        <v>93</v>
      </c>
      <c r="I8" s="632">
        <v>69</v>
      </c>
      <c r="J8" s="632">
        <v>92</v>
      </c>
      <c r="K8" s="632">
        <v>68</v>
      </c>
      <c r="L8" s="287">
        <v>1</v>
      </c>
      <c r="M8" s="287">
        <f t="shared" si="1"/>
        <v>48</v>
      </c>
      <c r="N8" s="499">
        <v>21.141833999999999</v>
      </c>
      <c r="O8" s="499">
        <v>79.082149000000001</v>
      </c>
      <c r="P8" s="499">
        <f>M8*250</f>
        <v>12000</v>
      </c>
      <c r="Q8" s="499">
        <v>18000</v>
      </c>
      <c r="R8" s="499">
        <v>22000</v>
      </c>
    </row>
    <row r="9" spans="1:18" ht="16" x14ac:dyDescent="0.2">
      <c r="A9" s="536">
        <v>7</v>
      </c>
      <c r="B9" s="590" t="s">
        <v>279</v>
      </c>
      <c r="C9" s="683" t="s">
        <v>784</v>
      </c>
      <c r="D9" s="217" t="s">
        <v>355</v>
      </c>
      <c r="E9" s="499" t="s">
        <v>273</v>
      </c>
      <c r="F9" s="498">
        <v>10</v>
      </c>
      <c r="G9" s="498">
        <v>3</v>
      </c>
      <c r="H9" s="498">
        <v>116</v>
      </c>
      <c r="I9" s="498">
        <v>32</v>
      </c>
      <c r="J9" s="498">
        <v>112</v>
      </c>
      <c r="K9" s="498">
        <v>28</v>
      </c>
      <c r="L9" s="287">
        <v>1</v>
      </c>
      <c r="M9" s="287">
        <f t="shared" si="1"/>
        <v>30</v>
      </c>
      <c r="N9" s="499">
        <v>21.141833999999999</v>
      </c>
      <c r="O9" s="499">
        <v>79.082149000000001</v>
      </c>
      <c r="P9" s="499">
        <f t="shared" si="0"/>
        <v>7500</v>
      </c>
      <c r="Q9" s="499">
        <f>M9*350</f>
        <v>10500</v>
      </c>
      <c r="R9" s="499">
        <v>15000</v>
      </c>
    </row>
    <row r="10" spans="1:18" ht="16" x14ac:dyDescent="0.2">
      <c r="A10" s="536">
        <v>8</v>
      </c>
      <c r="B10" s="590" t="s">
        <v>280</v>
      </c>
      <c r="C10" s="591" t="s">
        <v>785</v>
      </c>
      <c r="D10" s="217" t="s">
        <v>355</v>
      </c>
      <c r="E10" s="499" t="s">
        <v>271</v>
      </c>
      <c r="F10" s="498">
        <v>8</v>
      </c>
      <c r="G10" s="498">
        <v>6</v>
      </c>
      <c r="H10" s="498">
        <v>93</v>
      </c>
      <c r="I10" s="498">
        <v>69</v>
      </c>
      <c r="J10" s="498">
        <v>92</v>
      </c>
      <c r="K10" s="498">
        <v>68</v>
      </c>
      <c r="L10" s="287">
        <v>1</v>
      </c>
      <c r="M10" s="287">
        <f t="shared" si="1"/>
        <v>48</v>
      </c>
      <c r="N10" s="499">
        <v>21.141833999999999</v>
      </c>
      <c r="O10" s="499">
        <v>79.082149000000001</v>
      </c>
      <c r="P10" s="499">
        <f t="shared" si="0"/>
        <v>12000</v>
      </c>
      <c r="Q10" s="499">
        <v>18000</v>
      </c>
      <c r="R10" s="499">
        <v>22000</v>
      </c>
    </row>
    <row r="11" spans="1:18" ht="16" x14ac:dyDescent="0.2">
      <c r="A11" s="536">
        <v>9</v>
      </c>
      <c r="B11" s="590" t="s">
        <v>281</v>
      </c>
      <c r="C11" s="683" t="s">
        <v>786</v>
      </c>
      <c r="D11" s="217" t="s">
        <v>732</v>
      </c>
      <c r="E11" s="499" t="s">
        <v>273</v>
      </c>
      <c r="F11" s="632">
        <v>10</v>
      </c>
      <c r="G11" s="632">
        <v>5</v>
      </c>
      <c r="H11" s="632">
        <v>116</v>
      </c>
      <c r="I11" s="632">
        <v>56</v>
      </c>
      <c r="J11" s="632">
        <v>114</v>
      </c>
      <c r="K11" s="632">
        <v>51</v>
      </c>
      <c r="L11" s="287">
        <v>1</v>
      </c>
      <c r="M11" s="287">
        <f t="shared" si="1"/>
        <v>50</v>
      </c>
      <c r="N11" s="499">
        <v>21.141833999999999</v>
      </c>
      <c r="O11" s="499">
        <v>79.082149000000001</v>
      </c>
      <c r="P11" s="499">
        <f t="shared" si="0"/>
        <v>12500</v>
      </c>
      <c r="Q11" s="499">
        <v>20000</v>
      </c>
      <c r="R11" s="499">
        <v>25000</v>
      </c>
    </row>
    <row r="12" spans="1:18" ht="16" x14ac:dyDescent="0.2">
      <c r="A12" s="536">
        <v>10</v>
      </c>
      <c r="B12" s="590" t="s">
        <v>282</v>
      </c>
      <c r="C12" s="591" t="s">
        <v>787</v>
      </c>
      <c r="D12" s="217" t="s">
        <v>355</v>
      </c>
      <c r="E12" s="499" t="s">
        <v>271</v>
      </c>
      <c r="F12" s="498">
        <v>8</v>
      </c>
      <c r="G12" s="498">
        <v>6</v>
      </c>
      <c r="H12" s="498">
        <v>93</v>
      </c>
      <c r="I12" s="498">
        <v>69</v>
      </c>
      <c r="J12" s="498">
        <v>92</v>
      </c>
      <c r="K12" s="498">
        <v>68</v>
      </c>
      <c r="L12" s="287">
        <v>1</v>
      </c>
      <c r="M12" s="287">
        <f t="shared" si="1"/>
        <v>48</v>
      </c>
      <c r="N12" s="499">
        <v>21.141833999999999</v>
      </c>
      <c r="O12" s="499">
        <v>79.082149000000001</v>
      </c>
      <c r="P12" s="499">
        <f t="shared" si="0"/>
        <v>12000</v>
      </c>
      <c r="Q12" s="499">
        <v>18000</v>
      </c>
      <c r="R12" s="499">
        <v>22000</v>
      </c>
    </row>
    <row r="13" spans="1:18" ht="16" x14ac:dyDescent="0.2">
      <c r="A13" s="536">
        <v>11</v>
      </c>
      <c r="B13" s="590" t="s">
        <v>283</v>
      </c>
      <c r="C13" s="683" t="s">
        <v>788</v>
      </c>
      <c r="D13" s="217" t="s">
        <v>355</v>
      </c>
      <c r="E13" s="499" t="s">
        <v>271</v>
      </c>
      <c r="F13" s="498">
        <v>8</v>
      </c>
      <c r="G13" s="498">
        <v>6</v>
      </c>
      <c r="H13" s="498">
        <v>93</v>
      </c>
      <c r="I13" s="498">
        <v>69</v>
      </c>
      <c r="J13" s="498">
        <v>92</v>
      </c>
      <c r="K13" s="498">
        <v>68</v>
      </c>
      <c r="L13" s="287">
        <v>1</v>
      </c>
      <c r="M13" s="287">
        <f t="shared" si="1"/>
        <v>48</v>
      </c>
      <c r="N13" s="499">
        <v>21.141833999999999</v>
      </c>
      <c r="O13" s="499">
        <v>79.082149000000001</v>
      </c>
      <c r="P13" s="499">
        <f t="shared" si="0"/>
        <v>12000</v>
      </c>
      <c r="Q13" s="499">
        <v>18000</v>
      </c>
      <c r="R13" s="499">
        <v>22000</v>
      </c>
    </row>
    <row r="14" spans="1:18" ht="16" x14ac:dyDescent="0.2">
      <c r="A14" s="536">
        <v>12</v>
      </c>
      <c r="B14" s="590" t="s">
        <v>284</v>
      </c>
      <c r="C14" s="683" t="s">
        <v>789</v>
      </c>
      <c r="D14" s="217" t="s">
        <v>355</v>
      </c>
      <c r="E14" s="499" t="s">
        <v>271</v>
      </c>
      <c r="F14" s="498">
        <v>8</v>
      </c>
      <c r="G14" s="498">
        <v>6</v>
      </c>
      <c r="H14" s="498">
        <v>93</v>
      </c>
      <c r="I14" s="498">
        <v>69</v>
      </c>
      <c r="J14" s="498">
        <v>92</v>
      </c>
      <c r="K14" s="498">
        <v>68</v>
      </c>
      <c r="L14" s="287">
        <v>1</v>
      </c>
      <c r="M14" s="287">
        <f t="shared" si="1"/>
        <v>48</v>
      </c>
      <c r="N14" s="499">
        <v>21.141833999999999</v>
      </c>
      <c r="O14" s="499">
        <v>79.082149000000001</v>
      </c>
      <c r="P14" s="499">
        <f t="shared" si="0"/>
        <v>12000</v>
      </c>
      <c r="Q14" s="499">
        <v>18000</v>
      </c>
      <c r="R14" s="499">
        <v>22000</v>
      </c>
    </row>
    <row r="15" spans="1:18" ht="16" x14ac:dyDescent="0.2">
      <c r="A15" s="536">
        <v>13</v>
      </c>
      <c r="B15" s="590" t="s">
        <v>285</v>
      </c>
      <c r="C15" s="683" t="s">
        <v>790</v>
      </c>
      <c r="D15" s="217" t="s">
        <v>355</v>
      </c>
      <c r="E15" s="499" t="s">
        <v>271</v>
      </c>
      <c r="F15" s="498">
        <v>8</v>
      </c>
      <c r="G15" s="498">
        <v>6</v>
      </c>
      <c r="H15" s="498">
        <v>93</v>
      </c>
      <c r="I15" s="498">
        <v>69</v>
      </c>
      <c r="J15" s="498">
        <v>92</v>
      </c>
      <c r="K15" s="498">
        <v>68</v>
      </c>
      <c r="L15" s="287">
        <v>1</v>
      </c>
      <c r="M15" s="287">
        <f t="shared" si="1"/>
        <v>48</v>
      </c>
      <c r="N15" s="499">
        <v>21.141833999999999</v>
      </c>
      <c r="O15" s="499">
        <v>79.082149000000001</v>
      </c>
      <c r="P15" s="499">
        <f t="shared" si="0"/>
        <v>12000</v>
      </c>
      <c r="Q15" s="499">
        <v>18000</v>
      </c>
      <c r="R15" s="499">
        <v>22000</v>
      </c>
    </row>
    <row r="16" spans="1:18" ht="16" x14ac:dyDescent="0.2">
      <c r="A16" s="536">
        <v>14</v>
      </c>
      <c r="B16" s="590" t="s">
        <v>286</v>
      </c>
      <c r="C16" s="591" t="s">
        <v>791</v>
      </c>
      <c r="D16" s="217" t="s">
        <v>355</v>
      </c>
      <c r="E16" s="499" t="s">
        <v>271</v>
      </c>
      <c r="F16" s="498">
        <v>8</v>
      </c>
      <c r="G16" s="498">
        <v>6</v>
      </c>
      <c r="H16" s="498">
        <v>93</v>
      </c>
      <c r="I16" s="498">
        <v>69</v>
      </c>
      <c r="J16" s="498">
        <v>92</v>
      </c>
      <c r="K16" s="498">
        <v>68</v>
      </c>
      <c r="L16" s="287">
        <v>1</v>
      </c>
      <c r="M16" s="287">
        <f t="shared" si="1"/>
        <v>48</v>
      </c>
      <c r="N16" s="499">
        <v>21.141833999999999</v>
      </c>
      <c r="O16" s="499">
        <v>79.082149000000001</v>
      </c>
      <c r="P16" s="499">
        <f>M16*250</f>
        <v>12000</v>
      </c>
      <c r="Q16" s="499">
        <v>18000</v>
      </c>
      <c r="R16" s="499">
        <v>22000</v>
      </c>
    </row>
    <row r="17" spans="1:18" ht="16" x14ac:dyDescent="0.2">
      <c r="A17" s="536">
        <v>15</v>
      </c>
      <c r="B17" s="590" t="s">
        <v>287</v>
      </c>
      <c r="C17" s="683" t="s">
        <v>792</v>
      </c>
      <c r="D17" s="217" t="s">
        <v>355</v>
      </c>
      <c r="E17" s="499" t="s">
        <v>271</v>
      </c>
      <c r="F17" s="498">
        <v>8</v>
      </c>
      <c r="G17" s="498">
        <v>6</v>
      </c>
      <c r="H17" s="498">
        <v>93</v>
      </c>
      <c r="I17" s="498">
        <v>69</v>
      </c>
      <c r="J17" s="498">
        <v>92</v>
      </c>
      <c r="K17" s="498">
        <v>68</v>
      </c>
      <c r="L17" s="287">
        <v>1</v>
      </c>
      <c r="M17" s="287">
        <f t="shared" si="1"/>
        <v>48</v>
      </c>
      <c r="N17" s="499">
        <v>21.141833999999999</v>
      </c>
      <c r="O17" s="499">
        <v>79.082149000000001</v>
      </c>
      <c r="P17" s="499">
        <f t="shared" si="0"/>
        <v>12000</v>
      </c>
      <c r="Q17" s="499">
        <v>18000</v>
      </c>
      <c r="R17" s="499">
        <v>22000</v>
      </c>
    </row>
    <row r="18" spans="1:18" ht="16" x14ac:dyDescent="0.2">
      <c r="A18" s="536">
        <v>16</v>
      </c>
      <c r="B18" s="590" t="s">
        <v>288</v>
      </c>
      <c r="C18" s="683" t="s">
        <v>793</v>
      </c>
      <c r="D18" s="217" t="s">
        <v>355</v>
      </c>
      <c r="E18" s="499" t="s">
        <v>273</v>
      </c>
      <c r="F18" s="632">
        <v>10</v>
      </c>
      <c r="G18" s="632">
        <v>5</v>
      </c>
      <c r="H18" s="632">
        <v>116</v>
      </c>
      <c r="I18" s="632">
        <v>56</v>
      </c>
      <c r="J18" s="632">
        <v>114</v>
      </c>
      <c r="K18" s="632">
        <v>51</v>
      </c>
      <c r="L18" s="287">
        <v>1</v>
      </c>
      <c r="M18" s="287">
        <f t="shared" si="1"/>
        <v>50</v>
      </c>
      <c r="N18" s="499">
        <v>21.141833999999999</v>
      </c>
      <c r="O18" s="499">
        <v>79.082149000000001</v>
      </c>
      <c r="P18" s="499">
        <f t="shared" si="0"/>
        <v>12500</v>
      </c>
      <c r="Q18" s="499">
        <v>20000</v>
      </c>
      <c r="R18" s="499">
        <v>25000</v>
      </c>
    </row>
    <row r="19" spans="1:18" ht="16" x14ac:dyDescent="0.2">
      <c r="A19" s="536">
        <v>17</v>
      </c>
      <c r="B19" s="590" t="s">
        <v>289</v>
      </c>
      <c r="C19" s="591" t="s">
        <v>794</v>
      </c>
      <c r="D19" s="217" t="s">
        <v>355</v>
      </c>
      <c r="E19" s="499" t="s">
        <v>271</v>
      </c>
      <c r="F19" s="287">
        <v>8</v>
      </c>
      <c r="G19" s="287">
        <v>6</v>
      </c>
      <c r="H19" s="287">
        <v>93</v>
      </c>
      <c r="I19" s="287">
        <v>69</v>
      </c>
      <c r="J19" s="287">
        <v>92</v>
      </c>
      <c r="K19" s="287">
        <v>68</v>
      </c>
      <c r="L19" s="500">
        <v>1</v>
      </c>
      <c r="M19" s="287">
        <f t="shared" si="1"/>
        <v>48</v>
      </c>
      <c r="N19" s="499">
        <v>21.141833999999999</v>
      </c>
      <c r="O19" s="499">
        <v>79.082149000000001</v>
      </c>
      <c r="P19" s="499">
        <f t="shared" si="0"/>
        <v>12000</v>
      </c>
      <c r="Q19" s="499">
        <v>18000</v>
      </c>
      <c r="R19" s="499">
        <v>22000</v>
      </c>
    </row>
    <row r="20" spans="1:18" ht="16" x14ac:dyDescent="0.2">
      <c r="A20" s="536">
        <v>18</v>
      </c>
      <c r="B20" s="590" t="s">
        <v>290</v>
      </c>
      <c r="C20" s="591" t="s">
        <v>795</v>
      </c>
      <c r="D20" s="217" t="s">
        <v>355</v>
      </c>
      <c r="E20" s="499" t="s">
        <v>271</v>
      </c>
      <c r="F20" s="287">
        <v>8</v>
      </c>
      <c r="G20" s="287">
        <v>6</v>
      </c>
      <c r="H20" s="287">
        <v>93</v>
      </c>
      <c r="I20" s="287">
        <v>69</v>
      </c>
      <c r="J20" s="287">
        <v>92</v>
      </c>
      <c r="K20" s="287">
        <v>68</v>
      </c>
      <c r="L20" s="500">
        <v>1</v>
      </c>
      <c r="M20" s="287">
        <f t="shared" si="1"/>
        <v>48</v>
      </c>
      <c r="N20" s="499">
        <v>21.141833999999999</v>
      </c>
      <c r="O20" s="499">
        <v>79.082149000000001</v>
      </c>
      <c r="P20" s="499">
        <f t="shared" si="0"/>
        <v>12000</v>
      </c>
      <c r="Q20" s="499">
        <v>18000</v>
      </c>
      <c r="R20" s="499">
        <v>22000</v>
      </c>
    </row>
    <row r="21" spans="1:18" ht="16" x14ac:dyDescent="0.2">
      <c r="A21" s="536">
        <v>19</v>
      </c>
      <c r="B21" s="590" t="s">
        <v>291</v>
      </c>
      <c r="C21" s="683" t="s">
        <v>796</v>
      </c>
      <c r="D21" s="217" t="s">
        <v>355</v>
      </c>
      <c r="E21" s="499" t="s">
        <v>271</v>
      </c>
      <c r="F21" s="498">
        <v>8</v>
      </c>
      <c r="G21" s="498">
        <v>6</v>
      </c>
      <c r="H21" s="498">
        <v>93</v>
      </c>
      <c r="I21" s="498">
        <v>69</v>
      </c>
      <c r="J21" s="498">
        <v>92</v>
      </c>
      <c r="K21" s="498">
        <v>68</v>
      </c>
      <c r="L21" s="287">
        <v>1</v>
      </c>
      <c r="M21" s="287">
        <f t="shared" si="1"/>
        <v>48</v>
      </c>
      <c r="N21" s="499">
        <v>21.141833999999999</v>
      </c>
      <c r="O21" s="499">
        <v>79.082149000000001</v>
      </c>
      <c r="P21" s="499">
        <f t="shared" si="0"/>
        <v>12000</v>
      </c>
      <c r="Q21" s="499">
        <v>18000</v>
      </c>
      <c r="R21" s="499">
        <v>22000</v>
      </c>
    </row>
    <row r="22" spans="1:18" ht="16" x14ac:dyDescent="0.2">
      <c r="A22" s="536">
        <v>20</v>
      </c>
      <c r="B22" s="590" t="s">
        <v>292</v>
      </c>
      <c r="C22" s="683" t="s">
        <v>797</v>
      </c>
      <c r="D22" s="217" t="s">
        <v>355</v>
      </c>
      <c r="E22" s="499" t="s">
        <v>271</v>
      </c>
      <c r="F22" s="287">
        <v>8</v>
      </c>
      <c r="G22" s="287">
        <v>6</v>
      </c>
      <c r="H22" s="287">
        <v>93</v>
      </c>
      <c r="I22" s="287">
        <v>69</v>
      </c>
      <c r="J22" s="287">
        <v>92</v>
      </c>
      <c r="K22" s="287">
        <v>68</v>
      </c>
      <c r="L22" s="287">
        <v>1</v>
      </c>
      <c r="M22" s="287">
        <f t="shared" si="1"/>
        <v>48</v>
      </c>
      <c r="N22" s="499">
        <v>21.141833999999999</v>
      </c>
      <c r="O22" s="499">
        <v>79.082149000000001</v>
      </c>
      <c r="P22" s="499">
        <f t="shared" si="0"/>
        <v>12000</v>
      </c>
      <c r="Q22" s="499">
        <v>18000</v>
      </c>
      <c r="R22" s="499">
        <v>22000</v>
      </c>
    </row>
    <row r="23" spans="1:18" ht="16" x14ac:dyDescent="0.2">
      <c r="A23" s="536">
        <v>21</v>
      </c>
      <c r="B23" s="590" t="s">
        <v>293</v>
      </c>
      <c r="C23" s="591" t="s">
        <v>798</v>
      </c>
      <c r="D23" s="217" t="s">
        <v>355</v>
      </c>
      <c r="E23" s="499" t="s">
        <v>273</v>
      </c>
      <c r="F23" s="632">
        <v>10</v>
      </c>
      <c r="G23" s="632">
        <v>3</v>
      </c>
      <c r="H23" s="632">
        <v>116</v>
      </c>
      <c r="I23" s="632">
        <v>32</v>
      </c>
      <c r="J23" s="632">
        <v>112</v>
      </c>
      <c r="K23" s="632">
        <v>28</v>
      </c>
      <c r="L23" s="287">
        <v>1</v>
      </c>
      <c r="M23" s="287">
        <f t="shared" si="1"/>
        <v>30</v>
      </c>
      <c r="N23" s="499">
        <v>21.141833999999999</v>
      </c>
      <c r="O23" s="499">
        <v>79.082149000000001</v>
      </c>
      <c r="P23" s="499">
        <f t="shared" si="0"/>
        <v>7500</v>
      </c>
      <c r="Q23" s="499">
        <v>11000</v>
      </c>
      <c r="R23" s="499">
        <v>15000</v>
      </c>
    </row>
    <row r="24" spans="1:18" ht="16" x14ac:dyDescent="0.2">
      <c r="A24" s="536">
        <v>22</v>
      </c>
      <c r="B24" s="590" t="s">
        <v>294</v>
      </c>
      <c r="C24" s="591" t="s">
        <v>799</v>
      </c>
      <c r="D24" s="217" t="s">
        <v>355</v>
      </c>
      <c r="E24" s="499" t="s">
        <v>271</v>
      </c>
      <c r="F24" s="498">
        <v>8</v>
      </c>
      <c r="G24" s="498">
        <v>4</v>
      </c>
      <c r="H24" s="498">
        <v>93</v>
      </c>
      <c r="I24" s="287">
        <v>44</v>
      </c>
      <c r="J24" s="287">
        <v>89</v>
      </c>
      <c r="K24" s="287">
        <v>40</v>
      </c>
      <c r="L24" s="287">
        <v>1</v>
      </c>
      <c r="M24" s="287">
        <f t="shared" si="1"/>
        <v>32</v>
      </c>
      <c r="N24" s="499">
        <v>21.141833999999999</v>
      </c>
      <c r="O24" s="499">
        <v>79.082149000000001</v>
      </c>
      <c r="P24" s="499">
        <f t="shared" si="0"/>
        <v>8000</v>
      </c>
      <c r="Q24" s="499">
        <v>12000</v>
      </c>
      <c r="R24" s="499">
        <v>15000</v>
      </c>
    </row>
    <row r="25" spans="1:18" ht="16" x14ac:dyDescent="0.2">
      <c r="A25" s="536">
        <v>23</v>
      </c>
      <c r="B25" s="590" t="s">
        <v>295</v>
      </c>
      <c r="C25" s="683" t="s">
        <v>800</v>
      </c>
      <c r="D25" s="217" t="s">
        <v>355</v>
      </c>
      <c r="E25" s="499" t="s">
        <v>271</v>
      </c>
      <c r="F25" s="498">
        <v>8</v>
      </c>
      <c r="G25" s="498">
        <v>4</v>
      </c>
      <c r="H25" s="498">
        <v>93</v>
      </c>
      <c r="I25" s="287">
        <v>44</v>
      </c>
      <c r="J25" s="287">
        <v>89</v>
      </c>
      <c r="K25" s="287">
        <v>40</v>
      </c>
      <c r="L25" s="287">
        <v>1</v>
      </c>
      <c r="M25" s="287">
        <f t="shared" si="1"/>
        <v>32</v>
      </c>
      <c r="N25" s="499">
        <v>21.141833999999999</v>
      </c>
      <c r="O25" s="499">
        <v>79.082149000000001</v>
      </c>
      <c r="P25" s="499">
        <f>M25*250</f>
        <v>8000</v>
      </c>
      <c r="Q25" s="499">
        <v>12000</v>
      </c>
      <c r="R25" s="499">
        <v>15000</v>
      </c>
    </row>
    <row r="26" spans="1:18" ht="16" x14ac:dyDescent="0.2">
      <c r="B26" s="282"/>
      <c r="C26" s="283"/>
      <c r="D26" s="282"/>
      <c r="E26" s="282"/>
      <c r="F26" s="282"/>
      <c r="G26" s="282"/>
      <c r="H26" s="282"/>
      <c r="I26" s="282"/>
      <c r="J26" s="282"/>
      <c r="K26" s="282"/>
      <c r="L26" s="282"/>
      <c r="M26" s="304"/>
      <c r="N26" s="282"/>
      <c r="O26" s="282"/>
      <c r="P26" s="282">
        <f>SUM(P3:P25)</f>
        <v>250500</v>
      </c>
      <c r="Q26" s="282">
        <f>SUM(Q3:Q25)</f>
        <v>379500</v>
      </c>
      <c r="R26" s="282"/>
    </row>
    <row r="27" spans="1:18" ht="16" x14ac:dyDescent="0.2">
      <c r="B27" s="282"/>
      <c r="C27" s="283"/>
      <c r="D27" s="282"/>
      <c r="E27" s="282"/>
      <c r="F27" s="282"/>
      <c r="G27" s="282"/>
      <c r="H27" s="282"/>
      <c r="I27" s="282"/>
      <c r="J27" s="282"/>
      <c r="K27" s="282"/>
      <c r="L27" s="282"/>
      <c r="M27" s="304"/>
      <c r="N27" s="282"/>
      <c r="O27" s="282"/>
      <c r="P27" s="282"/>
      <c r="Q27" s="282"/>
      <c r="R27" s="282"/>
    </row>
    <row r="28" spans="1:18" ht="16" x14ac:dyDescent="0.2">
      <c r="B28" s="282"/>
      <c r="C28" s="283"/>
      <c r="D28" s="282"/>
      <c r="E28" s="282"/>
      <c r="F28" s="282"/>
      <c r="G28" s="282"/>
      <c r="H28" s="282"/>
      <c r="I28" s="282"/>
      <c r="J28" s="282"/>
      <c r="K28" s="282"/>
      <c r="L28" s="282"/>
      <c r="M28" s="304"/>
      <c r="N28" s="282"/>
      <c r="O28" s="282"/>
      <c r="P28" s="282"/>
      <c r="Q28" s="282"/>
      <c r="R28" s="282"/>
    </row>
    <row r="29" spans="1:18" ht="16" x14ac:dyDescent="0.2">
      <c r="B29" s="282"/>
      <c r="C29" s="283"/>
      <c r="E29" s="282"/>
      <c r="F29" s="282"/>
      <c r="G29" s="282"/>
      <c r="H29" s="282"/>
      <c r="I29" s="282"/>
      <c r="J29" s="282"/>
      <c r="K29" s="282"/>
      <c r="L29" s="282"/>
      <c r="M29" s="282"/>
    </row>
    <row r="30" spans="1:18" ht="16" x14ac:dyDescent="0.2">
      <c r="I30" s="282"/>
      <c r="J30" s="282"/>
      <c r="K30" s="282"/>
      <c r="L30" s="282"/>
      <c r="M30" s="282"/>
    </row>
    <row r="31" spans="1:18" x14ac:dyDescent="0.2">
      <c r="I31" s="421"/>
      <c r="J31" s="421"/>
      <c r="K31" s="421"/>
      <c r="L31" s="421"/>
      <c r="M31" s="422"/>
    </row>
    <row r="38" spans="2:13" x14ac:dyDescent="0.2">
      <c r="B38" s="539"/>
      <c r="C38" s="539"/>
      <c r="D38" s="539"/>
      <c r="E38" s="539"/>
      <c r="F38" s="539"/>
      <c r="G38" s="539"/>
      <c r="H38" s="539"/>
    </row>
    <row r="39" spans="2:13" x14ac:dyDescent="0.2">
      <c r="B39" s="539"/>
      <c r="C39" s="539"/>
      <c r="D39" s="539"/>
      <c r="E39" s="539"/>
      <c r="F39" s="539"/>
      <c r="G39" s="539"/>
      <c r="H39" s="539"/>
    </row>
    <row r="40" spans="2:13" x14ac:dyDescent="0.2">
      <c r="B40" s="539"/>
      <c r="C40" s="539"/>
      <c r="D40" s="539"/>
      <c r="E40" s="539"/>
      <c r="F40" s="539"/>
      <c r="G40" s="539"/>
      <c r="H40" s="539"/>
    </row>
    <row r="41" spans="2:13" x14ac:dyDescent="0.2">
      <c r="B41" s="539"/>
      <c r="C41" s="539"/>
      <c r="D41" s="539"/>
      <c r="E41" s="539"/>
      <c r="F41" s="539"/>
      <c r="G41" s="539"/>
      <c r="H41" s="539"/>
    </row>
    <row r="42" spans="2:13" x14ac:dyDescent="0.2">
      <c r="B42" s="539"/>
      <c r="C42" s="539"/>
      <c r="D42" s="539"/>
      <c r="E42" s="539"/>
      <c r="F42" s="539"/>
      <c r="G42" s="539"/>
      <c r="H42" s="539"/>
    </row>
    <row r="43" spans="2:13" x14ac:dyDescent="0.2">
      <c r="B43" s="395"/>
      <c r="C43" s="395"/>
      <c r="D43" s="395"/>
      <c r="E43" s="395"/>
      <c r="F43" s="395"/>
      <c r="G43" s="395"/>
      <c r="H43" s="395"/>
    </row>
    <row r="44" spans="2:13" ht="15.75" customHeight="1" x14ac:dyDescent="0.2">
      <c r="B44" s="395"/>
      <c r="C44" s="395"/>
      <c r="D44" s="395"/>
      <c r="E44" s="395"/>
      <c r="F44" s="395"/>
      <c r="G44" s="395"/>
      <c r="H44" s="395"/>
    </row>
    <row r="45" spans="2:13" x14ac:dyDescent="0.2">
      <c r="B45" s="395"/>
      <c r="C45" s="395"/>
      <c r="D45" s="395"/>
      <c r="E45" s="395"/>
      <c r="F45" s="395"/>
      <c r="G45" s="395"/>
      <c r="H45" s="395"/>
    </row>
    <row r="46" spans="2:13" ht="16" x14ac:dyDescent="0.2"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</row>
    <row r="47" spans="2:13" ht="16" x14ac:dyDescent="0.2"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</row>
  </sheetData>
  <autoFilter ref="A1:R26" xr:uid="{00000000-0001-0000-0800-000000000000}">
    <filterColumn colId="5" showButton="0"/>
    <filterColumn colId="7" showButton="0"/>
    <filterColumn colId="9" showButton="0"/>
  </autoFilter>
  <mergeCells count="15">
    <mergeCell ref="R1:R2"/>
    <mergeCell ref="M1:M2"/>
    <mergeCell ref="E1:E2"/>
    <mergeCell ref="D1:D2"/>
    <mergeCell ref="P1:P2"/>
    <mergeCell ref="Q1:Q2"/>
    <mergeCell ref="N1:N2"/>
    <mergeCell ref="O1:O2"/>
    <mergeCell ref="A1:A2"/>
    <mergeCell ref="B1:B2"/>
    <mergeCell ref="C1:C2"/>
    <mergeCell ref="F1:G1"/>
    <mergeCell ref="L1:L2"/>
    <mergeCell ref="H1:I1"/>
    <mergeCell ref="J1:K1"/>
  </mergeCells>
  <phoneticPr fontId="172" type="noConversion"/>
  <pageMargins left="0" right="0" top="0.35433070866141736" bottom="0.35433070866141736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4"/>
  <sheetViews>
    <sheetView topLeftCell="C1" zoomScale="90" zoomScaleNormal="90" workbookViewId="0">
      <selection activeCell="O1" sqref="O1:AA1048576"/>
    </sheetView>
  </sheetViews>
  <sheetFormatPr baseColWidth="10" defaultColWidth="9.1640625" defaultRowHeight="15" x14ac:dyDescent="0.2"/>
  <cols>
    <col min="1" max="1" width="6.6640625" style="312" customWidth="1"/>
    <col min="2" max="2" width="7.1640625" style="312" customWidth="1"/>
    <col min="3" max="3" width="59.6640625" style="324" customWidth="1"/>
    <col min="4" max="4" width="6.5" style="326" bestFit="1" customWidth="1"/>
    <col min="5" max="5" width="9" style="326" bestFit="1" customWidth="1"/>
    <col min="6" max="6" width="3.5" style="326" bestFit="1" customWidth="1"/>
    <col min="7" max="7" width="3" style="326" bestFit="1" customWidth="1"/>
    <col min="8" max="8" width="5.5" style="326" bestFit="1" customWidth="1"/>
    <col min="9" max="9" width="8.5" style="326" customWidth="1"/>
    <col min="10" max="10" width="11.1640625" style="326" hidden="1" customWidth="1"/>
    <col min="11" max="11" width="12" style="326" hidden="1" customWidth="1"/>
    <col min="12" max="12" width="10.33203125" style="312" customWidth="1"/>
    <col min="13" max="13" width="7.5" style="312" bestFit="1" customWidth="1"/>
    <col min="14" max="14" width="8.6640625" style="312" customWidth="1"/>
    <col min="15" max="15" width="9.1640625" style="557"/>
    <col min="16" max="16384" width="9.1640625" style="312"/>
  </cols>
  <sheetData>
    <row r="1" spans="1:15" ht="34" x14ac:dyDescent="0.2">
      <c r="A1" s="274" t="s">
        <v>0</v>
      </c>
      <c r="B1" s="275" t="s">
        <v>75</v>
      </c>
      <c r="C1" s="275" t="s">
        <v>76</v>
      </c>
      <c r="D1" s="276" t="s">
        <v>2</v>
      </c>
      <c r="E1" s="275" t="s">
        <v>3</v>
      </c>
      <c r="F1" s="275" t="s">
        <v>4</v>
      </c>
      <c r="G1" s="275" t="s">
        <v>5</v>
      </c>
      <c r="H1" s="275" t="s">
        <v>6</v>
      </c>
      <c r="I1" s="275" t="s">
        <v>490</v>
      </c>
      <c r="J1" s="186" t="s">
        <v>8</v>
      </c>
      <c r="K1" s="187" t="s">
        <v>9</v>
      </c>
      <c r="L1" s="277" t="s">
        <v>84</v>
      </c>
      <c r="M1" s="278" t="s">
        <v>77</v>
      </c>
      <c r="N1" s="279" t="s">
        <v>78</v>
      </c>
    </row>
    <row r="2" spans="1:15" x14ac:dyDescent="0.2">
      <c r="A2" s="309">
        <v>1</v>
      </c>
      <c r="B2" s="533" t="s">
        <v>830</v>
      </c>
      <c r="C2" s="447" t="s">
        <v>831</v>
      </c>
      <c r="D2" s="527" t="s">
        <v>30</v>
      </c>
      <c r="E2" s="309" t="s">
        <v>27</v>
      </c>
      <c r="F2" s="309">
        <v>30</v>
      </c>
      <c r="G2" s="309">
        <v>20</v>
      </c>
      <c r="H2" s="309">
        <v>1</v>
      </c>
      <c r="I2" s="289">
        <f>F2*G2</f>
        <v>600</v>
      </c>
      <c r="J2" s="289"/>
      <c r="K2" s="289"/>
      <c r="L2" s="309">
        <f>I2*35</f>
        <v>21000</v>
      </c>
      <c r="M2" s="311">
        <f>I2*40</f>
        <v>24000</v>
      </c>
      <c r="N2" s="311">
        <f>I2*45</f>
        <v>27000</v>
      </c>
    </row>
    <row r="3" spans="1:15" s="532" customFormat="1" x14ac:dyDescent="0.2">
      <c r="A3" s="534">
        <v>2</v>
      </c>
      <c r="B3" s="535" t="s">
        <v>830</v>
      </c>
      <c r="C3" s="447" t="s">
        <v>832</v>
      </c>
      <c r="D3" s="534" t="s">
        <v>30</v>
      </c>
      <c r="E3" s="534" t="s">
        <v>27</v>
      </c>
      <c r="F3" s="534">
        <v>30</v>
      </c>
      <c r="G3" s="534">
        <v>20</v>
      </c>
      <c r="H3" s="534">
        <v>1</v>
      </c>
      <c r="I3" s="515">
        <f>F3*G3</f>
        <v>600</v>
      </c>
      <c r="J3" s="515"/>
      <c r="K3" s="515"/>
      <c r="L3" s="309">
        <f>I3*35</f>
        <v>21000</v>
      </c>
      <c r="M3" s="311">
        <f>I3*40</f>
        <v>24000</v>
      </c>
      <c r="N3" s="311">
        <f>I3*45</f>
        <v>27000</v>
      </c>
      <c r="O3" s="558"/>
    </row>
    <row r="6" spans="1:15" x14ac:dyDescent="0.2">
      <c r="A6" s="167"/>
      <c r="C6" s="312"/>
      <c r="D6" s="312"/>
      <c r="E6" s="312"/>
      <c r="F6" s="312"/>
      <c r="G6" s="312"/>
      <c r="H6" s="557"/>
      <c r="I6" s="557"/>
      <c r="J6" s="557"/>
      <c r="K6" s="557"/>
      <c r="L6" s="557"/>
      <c r="M6" s="557"/>
      <c r="N6" s="557"/>
      <c r="O6" s="312"/>
    </row>
    <row r="7" spans="1:15" x14ac:dyDescent="0.2">
      <c r="A7" s="167"/>
      <c r="C7" s="312"/>
      <c r="D7" s="312"/>
      <c r="E7" s="312"/>
      <c r="F7" s="312"/>
      <c r="G7" s="312"/>
      <c r="H7" s="557"/>
      <c r="I7" s="557"/>
      <c r="J7" s="557"/>
      <c r="K7" s="557"/>
      <c r="L7" s="557"/>
      <c r="M7" s="557"/>
      <c r="N7" s="557"/>
      <c r="O7" s="312"/>
    </row>
    <row r="8" spans="1:15" ht="16" x14ac:dyDescent="0.2">
      <c r="A8" s="196"/>
      <c r="C8" s="312"/>
      <c r="D8" s="312"/>
      <c r="E8" s="312"/>
      <c r="F8" s="312"/>
      <c r="G8" s="312"/>
      <c r="H8" s="557"/>
      <c r="I8" s="557"/>
      <c r="J8" s="557"/>
      <c r="K8" s="557"/>
      <c r="L8" s="557"/>
      <c r="M8" s="557"/>
      <c r="N8" s="557"/>
      <c r="O8" s="312"/>
    </row>
    <row r="9" spans="1:15" ht="16" x14ac:dyDescent="0.2">
      <c r="A9" s="196"/>
      <c r="C9" s="312"/>
      <c r="D9" s="312"/>
      <c r="E9" s="312"/>
      <c r="F9" s="312"/>
      <c r="G9" s="312"/>
      <c r="H9" s="557"/>
      <c r="I9" s="557"/>
      <c r="J9" s="557"/>
      <c r="K9" s="557"/>
      <c r="L9" s="557"/>
      <c r="M9" s="557"/>
      <c r="N9" s="557"/>
      <c r="O9" s="312"/>
    </row>
    <row r="10" spans="1:15" ht="16" x14ac:dyDescent="0.2">
      <c r="A10" s="196"/>
      <c r="C10" s="312"/>
      <c r="D10" s="312"/>
      <c r="E10" s="312"/>
      <c r="F10" s="312"/>
      <c r="G10" s="312"/>
      <c r="H10" s="557"/>
      <c r="I10" s="557"/>
      <c r="J10" s="557"/>
      <c r="K10" s="557"/>
      <c r="L10" s="557"/>
      <c r="M10" s="557"/>
      <c r="N10" s="557"/>
      <c r="O10" s="312"/>
    </row>
    <row r="11" spans="1:15" ht="16" x14ac:dyDescent="0.2">
      <c r="A11" s="196"/>
      <c r="C11" s="312"/>
      <c r="D11" s="312"/>
      <c r="E11" s="312"/>
      <c r="F11" s="312"/>
      <c r="G11" s="312"/>
      <c r="H11" s="557"/>
      <c r="I11" s="557"/>
      <c r="J11" s="557"/>
      <c r="K11" s="557"/>
      <c r="L11" s="557"/>
      <c r="M11" s="557"/>
      <c r="N11" s="557"/>
      <c r="O11" s="312"/>
    </row>
    <row r="12" spans="1:15" ht="16" x14ac:dyDescent="0.2">
      <c r="A12" s="196"/>
      <c r="C12" s="312"/>
      <c r="D12" s="312"/>
      <c r="E12" s="312"/>
      <c r="F12" s="312"/>
      <c r="G12" s="312"/>
      <c r="H12" s="557"/>
      <c r="I12" s="557"/>
      <c r="J12" s="557"/>
      <c r="K12" s="557"/>
      <c r="L12" s="557"/>
      <c r="M12" s="557"/>
      <c r="N12" s="557"/>
      <c r="O12" s="312"/>
    </row>
    <row r="13" spans="1:15" ht="16" x14ac:dyDescent="0.2">
      <c r="A13" s="196"/>
      <c r="C13" s="312"/>
      <c r="D13" s="312"/>
      <c r="E13" s="312"/>
      <c r="F13" s="312"/>
      <c r="G13" s="312"/>
      <c r="H13" s="557"/>
      <c r="I13" s="557"/>
      <c r="J13" s="557"/>
      <c r="K13" s="557"/>
      <c r="L13" s="557"/>
      <c r="M13" s="557"/>
      <c r="N13" s="557"/>
      <c r="O13" s="312"/>
    </row>
    <row r="14" spans="1:15" ht="16" x14ac:dyDescent="0.2">
      <c r="A14" s="196"/>
      <c r="C14" s="312"/>
      <c r="D14" s="312"/>
      <c r="E14" s="312"/>
      <c r="F14" s="312"/>
      <c r="G14" s="312"/>
      <c r="H14" s="557"/>
      <c r="I14" s="557"/>
      <c r="J14" s="557"/>
      <c r="K14" s="557"/>
      <c r="L14" s="557"/>
      <c r="M14" s="557"/>
      <c r="N14" s="557"/>
      <c r="O14" s="312"/>
    </row>
    <row r="15" spans="1:15" ht="16" x14ac:dyDescent="0.2">
      <c r="A15" s="196"/>
      <c r="C15" s="312"/>
      <c r="D15" s="312"/>
      <c r="E15" s="312"/>
      <c r="F15" s="312"/>
      <c r="G15" s="312"/>
      <c r="H15" s="557"/>
      <c r="I15" s="557"/>
      <c r="J15" s="557"/>
      <c r="K15" s="557"/>
      <c r="L15" s="557"/>
      <c r="M15" s="557"/>
      <c r="N15" s="557"/>
      <c r="O15" s="312"/>
    </row>
    <row r="16" spans="1:15" ht="16" x14ac:dyDescent="0.2">
      <c r="A16" s="196"/>
      <c r="C16" s="312"/>
      <c r="D16" s="312"/>
      <c r="E16" s="312"/>
      <c r="F16" s="312"/>
      <c r="G16" s="312"/>
      <c r="H16" s="557"/>
      <c r="I16" s="557"/>
      <c r="J16" s="557"/>
      <c r="K16" s="557"/>
      <c r="L16" s="557"/>
      <c r="M16" s="557"/>
      <c r="N16" s="557"/>
      <c r="O16" s="312"/>
    </row>
    <row r="17" spans="1:15" x14ac:dyDescent="0.2">
      <c r="A17" s="167"/>
      <c r="C17" s="312"/>
      <c r="D17" s="312"/>
      <c r="E17" s="312"/>
      <c r="F17" s="312"/>
      <c r="G17" s="312"/>
      <c r="H17" s="557"/>
      <c r="I17" s="557"/>
      <c r="J17" s="557"/>
      <c r="K17" s="557"/>
      <c r="L17" s="557"/>
      <c r="M17" s="557"/>
      <c r="N17" s="557"/>
      <c r="O17" s="312"/>
    </row>
    <row r="18" spans="1:15" ht="16" x14ac:dyDescent="0.2">
      <c r="A18" s="196"/>
      <c r="C18" s="312"/>
      <c r="D18" s="312"/>
      <c r="E18" s="312"/>
      <c r="F18" s="312"/>
      <c r="G18" s="312"/>
      <c r="H18" s="557"/>
      <c r="I18" s="557"/>
      <c r="J18" s="557"/>
      <c r="K18" s="557"/>
      <c r="L18" s="557"/>
      <c r="M18" s="557"/>
      <c r="N18" s="557"/>
      <c r="O18" s="312"/>
    </row>
    <row r="19" spans="1:15" x14ac:dyDescent="0.2">
      <c r="A19" s="167"/>
      <c r="C19" s="312"/>
      <c r="D19" s="312"/>
      <c r="E19" s="312"/>
      <c r="F19" s="312"/>
      <c r="G19" s="312"/>
      <c r="H19" s="557"/>
      <c r="I19" s="557"/>
      <c r="J19" s="557"/>
      <c r="K19" s="557"/>
      <c r="L19" s="557"/>
      <c r="M19" s="557"/>
      <c r="N19" s="557"/>
      <c r="O19" s="312"/>
    </row>
    <row r="20" spans="1:15" x14ac:dyDescent="0.2">
      <c r="A20" s="167"/>
      <c r="C20" s="312"/>
      <c r="D20" s="312"/>
      <c r="E20" s="312"/>
      <c r="F20" s="312"/>
      <c r="G20" s="312"/>
      <c r="H20" s="557"/>
      <c r="I20" s="557"/>
      <c r="J20" s="557"/>
      <c r="K20" s="557"/>
      <c r="L20" s="557"/>
      <c r="M20" s="557"/>
      <c r="N20" s="557"/>
      <c r="O20" s="312"/>
    </row>
    <row r="21" spans="1:15" x14ac:dyDescent="0.2">
      <c r="A21" s="167"/>
      <c r="C21" s="312"/>
      <c r="D21" s="312"/>
      <c r="E21" s="312"/>
      <c r="F21" s="312"/>
      <c r="G21" s="312"/>
      <c r="H21" s="557"/>
      <c r="I21" s="557"/>
      <c r="J21" s="557"/>
      <c r="K21" s="557"/>
      <c r="L21" s="557"/>
      <c r="M21" s="557"/>
      <c r="N21" s="557"/>
      <c r="O21" s="312"/>
    </row>
    <row r="22" spans="1:15" x14ac:dyDescent="0.2">
      <c r="C22" s="312"/>
      <c r="D22" s="312"/>
      <c r="E22" s="312"/>
      <c r="F22" s="312"/>
      <c r="G22" s="312"/>
      <c r="H22" s="557"/>
      <c r="I22" s="557"/>
      <c r="J22" s="557"/>
      <c r="K22" s="557"/>
      <c r="L22" s="557"/>
      <c r="M22" s="557"/>
      <c r="N22" s="557"/>
      <c r="O22" s="312"/>
    </row>
    <row r="23" spans="1:15" x14ac:dyDescent="0.2">
      <c r="C23" s="312"/>
      <c r="D23" s="312"/>
      <c r="E23" s="312"/>
      <c r="F23" s="312"/>
      <c r="G23" s="312"/>
      <c r="H23" s="557"/>
      <c r="I23" s="557"/>
      <c r="J23" s="557"/>
      <c r="K23" s="557"/>
      <c r="L23" s="557"/>
      <c r="M23" s="557"/>
      <c r="N23" s="557"/>
      <c r="O23" s="312"/>
    </row>
    <row r="24" spans="1:15" x14ac:dyDescent="0.2">
      <c r="C24" s="312"/>
      <c r="D24" s="312"/>
      <c r="E24" s="312"/>
      <c r="F24" s="312"/>
      <c r="G24" s="312"/>
      <c r="H24" s="557"/>
      <c r="I24" s="557"/>
      <c r="J24" s="557"/>
      <c r="K24" s="557"/>
      <c r="L24" s="557"/>
      <c r="M24" s="557"/>
      <c r="N24" s="557"/>
      <c r="O24" s="3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N26"/>
  <sheetViews>
    <sheetView zoomScale="90" zoomScaleNormal="90" workbookViewId="0">
      <pane ySplit="1" topLeftCell="A2" activePane="bottomLeft" state="frozen"/>
      <selection activeCell="Y6" sqref="Y6"/>
      <selection pane="bottomLeft" activeCell="M29" sqref="M29"/>
    </sheetView>
  </sheetViews>
  <sheetFormatPr baseColWidth="10" defaultColWidth="9.1640625" defaultRowHeight="14" x14ac:dyDescent="0.2"/>
  <cols>
    <col min="1" max="1" width="7.33203125" style="174" customWidth="1"/>
    <col min="2" max="2" width="12.5" style="174" customWidth="1"/>
    <col min="3" max="3" width="39.5" style="175" customWidth="1"/>
    <col min="4" max="4" width="6.33203125" style="175" bestFit="1" customWidth="1"/>
    <col min="5" max="5" width="9.83203125" style="174" customWidth="1"/>
    <col min="6" max="6" width="5.1640625" style="174" customWidth="1"/>
    <col min="7" max="7" width="4.83203125" style="174" customWidth="1"/>
    <col min="8" max="8" width="5" style="174" customWidth="1"/>
    <col min="9" max="9" width="9.83203125" style="175" customWidth="1"/>
    <col min="10" max="10" width="12.83203125" style="176" bestFit="1" customWidth="1"/>
    <col min="11" max="11" width="13.6640625" style="176" bestFit="1" customWidth="1"/>
    <col min="12" max="12" width="14" style="174" bestFit="1" customWidth="1"/>
    <col min="13" max="13" width="12.33203125" style="174" bestFit="1" customWidth="1"/>
    <col min="14" max="14" width="18" style="174" customWidth="1"/>
    <col min="15" max="16384" width="9.1640625" style="174"/>
  </cols>
  <sheetData>
    <row r="1" spans="1:14" s="167" customFormat="1" ht="30" x14ac:dyDescent="0.2">
      <c r="A1" s="177" t="s">
        <v>0</v>
      </c>
      <c r="B1" s="178" t="s">
        <v>75</v>
      </c>
      <c r="C1" s="177" t="s">
        <v>76</v>
      </c>
      <c r="D1" s="177" t="s">
        <v>50</v>
      </c>
      <c r="E1" s="178" t="s">
        <v>3</v>
      </c>
      <c r="F1" s="179" t="s">
        <v>4</v>
      </c>
      <c r="G1" s="179" t="s">
        <v>5</v>
      </c>
      <c r="H1" s="178" t="s">
        <v>6</v>
      </c>
      <c r="I1" s="177" t="s">
        <v>490</v>
      </c>
      <c r="J1" s="186" t="s">
        <v>8</v>
      </c>
      <c r="K1" s="187" t="s">
        <v>9</v>
      </c>
      <c r="L1" s="184" t="s">
        <v>10</v>
      </c>
      <c r="M1" s="270" t="s">
        <v>77</v>
      </c>
      <c r="N1" s="185" t="s">
        <v>78</v>
      </c>
    </row>
    <row r="2" spans="1:14" ht="15" x14ac:dyDescent="0.2">
      <c r="A2" s="180">
        <v>1</v>
      </c>
      <c r="B2" s="180" t="s">
        <v>104</v>
      </c>
      <c r="C2" s="597" t="s">
        <v>248</v>
      </c>
      <c r="D2" s="181" t="s">
        <v>30</v>
      </c>
      <c r="E2" s="180" t="s">
        <v>27</v>
      </c>
      <c r="F2" s="180">
        <v>20</v>
      </c>
      <c r="G2" s="180">
        <v>20</v>
      </c>
      <c r="H2" s="188">
        <v>1</v>
      </c>
      <c r="I2" s="181">
        <f t="shared" ref="I2:I7" si="0">F2*G2*H2</f>
        <v>400</v>
      </c>
      <c r="J2" s="172">
        <v>21.177667</v>
      </c>
      <c r="K2" s="172">
        <v>79.657146999999995</v>
      </c>
      <c r="L2" s="266">
        <f t="shared" ref="L2:L7" si="1">I2*25</f>
        <v>10000</v>
      </c>
      <c r="M2" s="268">
        <v>12000</v>
      </c>
      <c r="N2" s="267">
        <v>14000</v>
      </c>
    </row>
    <row r="3" spans="1:14" ht="19.5" customHeight="1" x14ac:dyDescent="0.2">
      <c r="A3" s="612">
        <v>2</v>
      </c>
      <c r="B3" s="612" t="s">
        <v>104</v>
      </c>
      <c r="C3" s="613" t="s">
        <v>249</v>
      </c>
      <c r="D3" s="614" t="s">
        <v>30</v>
      </c>
      <c r="E3" s="612" t="s">
        <v>27</v>
      </c>
      <c r="F3" s="612">
        <v>20</v>
      </c>
      <c r="G3" s="612">
        <v>20</v>
      </c>
      <c r="H3" s="612">
        <v>1</v>
      </c>
      <c r="I3" s="614">
        <f t="shared" si="0"/>
        <v>400</v>
      </c>
      <c r="J3" s="615" t="s">
        <v>105</v>
      </c>
      <c r="K3" s="580">
        <v>79.649923000000001</v>
      </c>
      <c r="L3" s="582">
        <f t="shared" si="1"/>
        <v>10000</v>
      </c>
      <c r="M3" s="616">
        <v>12000</v>
      </c>
      <c r="N3" s="617">
        <v>14000</v>
      </c>
    </row>
    <row r="4" spans="1:14" ht="15" x14ac:dyDescent="0.2">
      <c r="A4" s="180">
        <v>3</v>
      </c>
      <c r="B4" s="180" t="s">
        <v>104</v>
      </c>
      <c r="C4" s="447" t="s">
        <v>475</v>
      </c>
      <c r="D4" s="181" t="s">
        <v>30</v>
      </c>
      <c r="E4" s="180" t="s">
        <v>27</v>
      </c>
      <c r="F4" s="180">
        <v>20</v>
      </c>
      <c r="G4" s="180">
        <v>20</v>
      </c>
      <c r="H4" s="180">
        <v>1</v>
      </c>
      <c r="I4" s="181">
        <f t="shared" si="0"/>
        <v>400</v>
      </c>
      <c r="J4" s="172">
        <v>21.164846000000001</v>
      </c>
      <c r="K4" s="172">
        <v>79.653368999999998</v>
      </c>
      <c r="L4" s="266">
        <f t="shared" si="1"/>
        <v>10000</v>
      </c>
      <c r="M4" s="268">
        <v>12000</v>
      </c>
      <c r="N4" s="267">
        <v>14000</v>
      </c>
    </row>
    <row r="5" spans="1:14" ht="15" x14ac:dyDescent="0.2">
      <c r="A5" s="180">
        <v>4</v>
      </c>
      <c r="B5" s="180" t="s">
        <v>104</v>
      </c>
      <c r="C5" s="447" t="s">
        <v>250</v>
      </c>
      <c r="D5" s="181" t="s">
        <v>30</v>
      </c>
      <c r="E5" s="180" t="s">
        <v>27</v>
      </c>
      <c r="F5" s="180">
        <v>20</v>
      </c>
      <c r="G5" s="180">
        <v>20</v>
      </c>
      <c r="H5" s="180">
        <v>1</v>
      </c>
      <c r="I5" s="181">
        <f t="shared" si="0"/>
        <v>400</v>
      </c>
      <c r="J5" s="172">
        <v>21.157602000000001</v>
      </c>
      <c r="K5" s="172">
        <v>79.653077999999994</v>
      </c>
      <c r="L5" s="266">
        <f t="shared" si="1"/>
        <v>10000</v>
      </c>
      <c r="M5" s="268">
        <v>12000</v>
      </c>
      <c r="N5" s="267">
        <v>14000</v>
      </c>
    </row>
    <row r="6" spans="1:14" ht="14.25" customHeight="1" x14ac:dyDescent="0.2">
      <c r="A6" s="180">
        <v>5</v>
      </c>
      <c r="B6" s="180" t="s">
        <v>104</v>
      </c>
      <c r="C6" s="597" t="s">
        <v>476</v>
      </c>
      <c r="D6" s="181" t="s">
        <v>30</v>
      </c>
      <c r="E6" s="180" t="s">
        <v>27</v>
      </c>
      <c r="F6" s="180">
        <v>20</v>
      </c>
      <c r="G6" s="180">
        <v>20</v>
      </c>
      <c r="H6" s="180">
        <v>1</v>
      </c>
      <c r="I6" s="181">
        <f t="shared" si="0"/>
        <v>400</v>
      </c>
      <c r="J6" s="190" t="s">
        <v>106</v>
      </c>
      <c r="K6" s="172">
        <v>79.648411999999993</v>
      </c>
      <c r="L6" s="266">
        <f t="shared" si="1"/>
        <v>10000</v>
      </c>
      <c r="M6" s="268">
        <v>12000</v>
      </c>
      <c r="N6" s="267">
        <v>14000</v>
      </c>
    </row>
    <row r="7" spans="1:14" ht="15" x14ac:dyDescent="0.2">
      <c r="A7" s="180">
        <v>6</v>
      </c>
      <c r="B7" s="180" t="s">
        <v>104</v>
      </c>
      <c r="C7" s="447" t="s">
        <v>477</v>
      </c>
      <c r="D7" s="181" t="s">
        <v>30</v>
      </c>
      <c r="E7" s="180" t="s">
        <v>27</v>
      </c>
      <c r="F7" s="180">
        <v>20</v>
      </c>
      <c r="G7" s="180">
        <v>20</v>
      </c>
      <c r="H7" s="180">
        <v>1</v>
      </c>
      <c r="I7" s="181">
        <f t="shared" si="0"/>
        <v>400</v>
      </c>
      <c r="J7" s="190" t="s">
        <v>106</v>
      </c>
      <c r="K7" s="172">
        <v>79.648411999999993</v>
      </c>
      <c r="L7" s="266">
        <f t="shared" si="1"/>
        <v>10000</v>
      </c>
      <c r="M7" s="268">
        <v>12000</v>
      </c>
      <c r="N7" s="267">
        <v>14000</v>
      </c>
    </row>
    <row r="8" spans="1:14" ht="15" x14ac:dyDescent="0.2">
      <c r="A8" s="180"/>
      <c r="B8" s="182"/>
      <c r="C8" s="250" t="s">
        <v>47</v>
      </c>
      <c r="D8" s="183"/>
      <c r="E8" s="182"/>
      <c r="F8" s="182"/>
      <c r="G8" s="182"/>
      <c r="H8" s="182"/>
      <c r="I8" s="191">
        <f>SUM(I2:I5)</f>
        <v>1600</v>
      </c>
      <c r="J8" s="172"/>
      <c r="K8" s="172"/>
      <c r="L8" s="266">
        <f>SUM(L2:L5)</f>
        <v>40000</v>
      </c>
      <c r="M8" s="268">
        <f>SUM(M2:M5)</f>
        <v>48000</v>
      </c>
      <c r="N8" s="267">
        <f>SUM(N2:N7)</f>
        <v>84000</v>
      </c>
    </row>
    <row r="9" spans="1:14" x14ac:dyDescent="0.2">
      <c r="A9" s="194"/>
      <c r="D9" s="174"/>
      <c r="I9" s="174"/>
      <c r="J9" s="174"/>
      <c r="K9" s="174"/>
    </row>
    <row r="10" spans="1:14" ht="16" x14ac:dyDescent="0.2">
      <c r="A10" s="607"/>
      <c r="B10" s="552"/>
      <c r="C10" s="540"/>
      <c r="D10" s="539"/>
      <c r="E10" s="539"/>
      <c r="F10" s="539"/>
      <c r="G10" s="539"/>
      <c r="H10" s="539"/>
      <c r="I10" s="539"/>
      <c r="J10" s="539"/>
      <c r="K10" s="539"/>
      <c r="L10" s="417"/>
      <c r="M10" s="167"/>
      <c r="N10" s="167"/>
    </row>
    <row r="11" spans="1:14" ht="16" x14ac:dyDescent="0.2">
      <c r="A11" s="551"/>
      <c r="B11" s="586"/>
      <c r="C11" s="540"/>
      <c r="D11" s="539"/>
      <c r="E11" s="539"/>
      <c r="F11" s="539"/>
      <c r="G11" s="539"/>
      <c r="H11" s="539"/>
      <c r="I11" s="539"/>
      <c r="J11" s="539"/>
      <c r="K11" s="539"/>
      <c r="L11" s="417"/>
      <c r="M11" s="167"/>
      <c r="N11" s="167"/>
    </row>
    <row r="12" spans="1:14" ht="16" x14ac:dyDescent="0.2">
      <c r="A12" s="551"/>
      <c r="B12" s="553"/>
      <c r="C12" s="540"/>
      <c r="D12" s="539"/>
      <c r="E12" s="539"/>
      <c r="F12" s="539"/>
      <c r="G12" s="539"/>
      <c r="H12" s="539"/>
      <c r="I12" s="539"/>
      <c r="J12" s="539"/>
      <c r="K12" s="539"/>
      <c r="L12" s="196"/>
      <c r="M12" s="196"/>
      <c r="N12" s="196"/>
    </row>
    <row r="13" spans="1:14" ht="16" x14ac:dyDescent="0.2">
      <c r="A13" s="551"/>
      <c r="B13" s="553"/>
      <c r="C13" s="540"/>
      <c r="D13" s="539"/>
      <c r="E13" s="539"/>
      <c r="F13" s="539"/>
      <c r="G13" s="539"/>
      <c r="H13" s="539"/>
      <c r="I13" s="539"/>
      <c r="J13" s="539"/>
      <c r="K13" s="539"/>
      <c r="L13" s="196"/>
      <c r="M13" s="196"/>
      <c r="N13" s="196"/>
    </row>
    <row r="14" spans="1:14" ht="16" x14ac:dyDescent="0.2">
      <c r="A14" s="551"/>
      <c r="B14" s="553"/>
      <c r="C14" s="540"/>
      <c r="D14" s="539"/>
      <c r="E14" s="539"/>
      <c r="F14" s="539"/>
      <c r="G14" s="539"/>
      <c r="H14" s="539"/>
      <c r="I14" s="539"/>
      <c r="J14" s="539"/>
      <c r="K14" s="539"/>
      <c r="L14" s="196"/>
      <c r="M14" s="196"/>
      <c r="N14" s="196"/>
    </row>
    <row r="15" spans="1:14" ht="16" x14ac:dyDescent="0.2">
      <c r="A15" s="551"/>
      <c r="B15" s="553"/>
      <c r="C15" s="540"/>
      <c r="D15" s="539"/>
      <c r="E15" s="539"/>
      <c r="F15" s="539"/>
      <c r="G15" s="539"/>
      <c r="H15" s="539"/>
      <c r="I15" s="539"/>
      <c r="J15" s="539"/>
      <c r="K15" s="539"/>
      <c r="L15" s="196"/>
      <c r="M15" s="196"/>
    </row>
    <row r="16" spans="1:14" ht="16" x14ac:dyDescent="0.2">
      <c r="A16" s="551"/>
      <c r="B16" s="553"/>
      <c r="C16" s="540"/>
      <c r="D16" s="539"/>
      <c r="E16" s="539"/>
      <c r="F16" s="539"/>
      <c r="G16" s="539"/>
      <c r="H16" s="539"/>
      <c r="I16" s="539"/>
      <c r="J16" s="539"/>
      <c r="K16" s="539"/>
      <c r="L16" s="196"/>
      <c r="M16" s="196"/>
      <c r="N16" s="196"/>
    </row>
    <row r="17" spans="1:14" ht="16" x14ac:dyDescent="0.2">
      <c r="A17" s="551"/>
      <c r="B17" s="553"/>
      <c r="C17" s="540"/>
      <c r="D17" s="539"/>
      <c r="E17" s="539"/>
      <c r="F17" s="539"/>
      <c r="G17" s="539"/>
      <c r="H17" s="539"/>
      <c r="I17" s="539"/>
      <c r="J17" s="539"/>
      <c r="K17" s="539"/>
      <c r="L17" s="196"/>
      <c r="M17" s="196"/>
      <c r="N17" s="196"/>
    </row>
    <row r="18" spans="1:14" ht="16" x14ac:dyDescent="0.2">
      <c r="A18" s="551"/>
      <c r="B18" s="553"/>
      <c r="C18" s="540"/>
      <c r="D18" s="539"/>
      <c r="E18" s="539"/>
      <c r="F18" s="539"/>
      <c r="G18" s="539"/>
      <c r="H18" s="539"/>
      <c r="I18" s="539"/>
      <c r="J18" s="539"/>
      <c r="K18" s="539"/>
      <c r="L18" s="196"/>
      <c r="M18" s="196"/>
      <c r="N18" s="196"/>
    </row>
    <row r="19" spans="1:14" ht="18" customHeight="1" x14ac:dyDescent="0.2">
      <c r="A19" s="551"/>
      <c r="B19" s="553"/>
      <c r="C19" s="540"/>
      <c r="D19" s="539"/>
      <c r="E19" s="539"/>
      <c r="F19" s="539"/>
      <c r="G19" s="539"/>
      <c r="H19" s="539"/>
      <c r="I19" s="539"/>
      <c r="J19" s="539"/>
      <c r="K19" s="539"/>
      <c r="L19" s="196"/>
      <c r="M19" s="196"/>
      <c r="N19" s="196"/>
    </row>
    <row r="20" spans="1:14" ht="16" x14ac:dyDescent="0.2">
      <c r="A20" s="551"/>
      <c r="B20" s="609"/>
      <c r="C20" s="540"/>
      <c r="D20" s="539"/>
      <c r="E20" s="539"/>
      <c r="F20" s="539"/>
      <c r="G20" s="539"/>
      <c r="H20" s="539"/>
      <c r="I20" s="539"/>
      <c r="J20" s="539"/>
      <c r="K20" s="539"/>
      <c r="L20" s="196"/>
      <c r="M20" s="196"/>
      <c r="N20" s="196"/>
    </row>
    <row r="21" spans="1:14" ht="16" x14ac:dyDescent="0.2">
      <c r="A21" s="551"/>
      <c r="B21" s="553"/>
      <c r="C21" s="540"/>
      <c r="D21" s="539"/>
      <c r="E21" s="539"/>
      <c r="F21" s="539"/>
      <c r="G21" s="539"/>
      <c r="H21" s="539"/>
      <c r="I21" s="539"/>
      <c r="J21" s="539"/>
      <c r="K21" s="539"/>
      <c r="L21" s="196"/>
      <c r="M21" s="196"/>
      <c r="N21" s="167"/>
    </row>
    <row r="22" spans="1:14" ht="16" x14ac:dyDescent="0.2">
      <c r="A22" s="551"/>
      <c r="B22" s="553"/>
      <c r="C22" s="540"/>
      <c r="D22" s="539"/>
      <c r="E22" s="539"/>
      <c r="F22" s="539"/>
      <c r="G22" s="539"/>
      <c r="H22" s="539"/>
      <c r="I22" s="539"/>
      <c r="J22" s="539"/>
      <c r="K22" s="539"/>
      <c r="L22" s="417"/>
      <c r="M22" s="167"/>
      <c r="N22" s="196"/>
    </row>
    <row r="23" spans="1:14" ht="16" x14ac:dyDescent="0.2">
      <c r="A23" s="551"/>
      <c r="B23" s="554"/>
      <c r="C23" s="540"/>
      <c r="D23" s="395"/>
      <c r="E23" s="395"/>
      <c r="F23" s="395"/>
      <c r="G23" s="395"/>
      <c r="H23" s="395"/>
      <c r="I23" s="395"/>
      <c r="J23" s="395"/>
      <c r="K23" s="395"/>
      <c r="L23" s="196"/>
      <c r="M23" s="196"/>
      <c r="N23" s="167"/>
    </row>
    <row r="24" spans="1:14" ht="16" x14ac:dyDescent="0.2">
      <c r="A24" s="551"/>
      <c r="B24" s="740"/>
      <c r="C24" s="740"/>
      <c r="D24" s="395"/>
      <c r="E24" s="395"/>
      <c r="F24" s="395"/>
      <c r="G24" s="395"/>
      <c r="H24" s="395"/>
      <c r="I24" s="395"/>
      <c r="J24" s="395"/>
      <c r="K24" s="395"/>
      <c r="L24" s="417"/>
      <c r="M24" s="167"/>
      <c r="N24" s="167"/>
    </row>
    <row r="25" spans="1:14" ht="16" x14ac:dyDescent="0.2">
      <c r="A25" s="413"/>
      <c r="B25" s="552"/>
      <c r="C25" s="540"/>
      <c r="D25" s="395"/>
      <c r="E25" s="395"/>
      <c r="F25" s="395"/>
      <c r="G25" s="395"/>
      <c r="H25" s="395"/>
      <c r="I25" s="395"/>
      <c r="J25" s="395"/>
      <c r="K25" s="395"/>
      <c r="L25" s="417"/>
      <c r="M25" s="167"/>
      <c r="N25" s="167"/>
    </row>
    <row r="26" spans="1:14" x14ac:dyDescent="0.2">
      <c r="C26" s="174"/>
      <c r="D26" s="174"/>
      <c r="I26" s="174"/>
      <c r="J26" s="174"/>
      <c r="K26" s="174"/>
    </row>
  </sheetData>
  <autoFilter ref="A1:N8" xr:uid="{00000000-0009-0000-0000-00000A000000}"/>
  <mergeCells count="1">
    <mergeCell ref="B24:C24"/>
  </mergeCells>
  <pageMargins left="0.24" right="0.17" top="0.75" bottom="0.75" header="0.32" footer="0.3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Y10"/>
  <sheetViews>
    <sheetView workbookViewId="0">
      <selection activeCell="H8" sqref="H8"/>
    </sheetView>
  </sheetViews>
  <sheetFormatPr baseColWidth="10" defaultColWidth="9.1640625" defaultRowHeight="16" x14ac:dyDescent="0.2"/>
  <cols>
    <col min="1" max="1" width="7.5" style="166" customWidth="1"/>
    <col min="2" max="2" width="31.5" style="256" customWidth="1"/>
    <col min="3" max="3" width="6.5" style="166" customWidth="1"/>
    <col min="4" max="4" width="4.83203125" style="166" customWidth="1"/>
    <col min="5" max="5" width="6.5" style="166" customWidth="1"/>
    <col min="6" max="6" width="5.1640625" style="166" customWidth="1"/>
    <col min="7" max="7" width="13.83203125" style="166" bestFit="1" customWidth="1"/>
    <col min="8" max="8" width="16.83203125" style="256" bestFit="1" customWidth="1"/>
    <col min="9" max="9" width="10.33203125" style="166" customWidth="1"/>
    <col min="10" max="11" width="7.6640625" style="166" customWidth="1"/>
    <col min="12" max="12" width="6.83203125" style="166" bestFit="1" customWidth="1"/>
    <col min="13" max="13" width="4.83203125" style="166" bestFit="1" customWidth="1"/>
    <col min="14" max="14" width="18.5" style="256" bestFit="1" customWidth="1"/>
    <col min="15" max="15" width="13.5" style="256" bestFit="1" customWidth="1"/>
    <col min="16" max="16" width="7.33203125" style="166" bestFit="1" customWidth="1"/>
    <col min="17" max="17" width="19.5" style="166" bestFit="1" customWidth="1"/>
    <col min="18" max="18" width="16.83203125" style="166" bestFit="1" customWidth="1"/>
    <col min="19" max="19" width="7.33203125" style="166" customWidth="1"/>
    <col min="20" max="20" width="11.6640625" style="166" customWidth="1"/>
    <col min="21" max="21" width="11.83203125" style="166" customWidth="1"/>
    <col min="22" max="22" width="24.33203125" style="166" bestFit="1" customWidth="1"/>
    <col min="23" max="23" width="18.6640625" style="166" bestFit="1" customWidth="1"/>
    <col min="24" max="24" width="9.5" style="166" bestFit="1" customWidth="1"/>
    <col min="25" max="16384" width="9.1640625" style="166"/>
  </cols>
  <sheetData>
    <row r="1" spans="1:25" s="196" customFormat="1" x14ac:dyDescent="0.2">
      <c r="A1" s="741" t="s">
        <v>48</v>
      </c>
      <c r="B1" s="741" t="s">
        <v>49</v>
      </c>
      <c r="C1" s="741" t="s">
        <v>50</v>
      </c>
      <c r="D1" s="741" t="s">
        <v>51</v>
      </c>
      <c r="E1" s="743" t="s">
        <v>52</v>
      </c>
      <c r="F1" s="744"/>
      <c r="G1" s="741" t="s">
        <v>53</v>
      </c>
      <c r="H1" s="741" t="s">
        <v>3</v>
      </c>
      <c r="I1" s="741" t="s">
        <v>10</v>
      </c>
      <c r="J1" s="741" t="s">
        <v>11</v>
      </c>
      <c r="K1" s="741" t="s">
        <v>54</v>
      </c>
      <c r="L1" s="743" t="s">
        <v>55</v>
      </c>
      <c r="M1" s="744"/>
      <c r="N1" s="741" t="s">
        <v>56</v>
      </c>
      <c r="O1" s="741" t="s">
        <v>57</v>
      </c>
      <c r="P1" s="741" t="s">
        <v>18</v>
      </c>
      <c r="Q1" s="741" t="s">
        <v>58</v>
      </c>
      <c r="R1" s="741" t="s">
        <v>19</v>
      </c>
      <c r="S1" s="741" t="s">
        <v>18</v>
      </c>
      <c r="T1" s="741" t="s">
        <v>21</v>
      </c>
      <c r="U1" s="741" t="s">
        <v>20</v>
      </c>
      <c r="V1" s="741" t="s">
        <v>22</v>
      </c>
      <c r="W1" s="741" t="s">
        <v>23</v>
      </c>
      <c r="X1" s="741" t="s">
        <v>24</v>
      </c>
      <c r="Y1" s="239"/>
    </row>
    <row r="2" spans="1:25" s="196" customFormat="1" ht="17" x14ac:dyDescent="0.2">
      <c r="A2" s="742"/>
      <c r="B2" s="742"/>
      <c r="C2" s="742"/>
      <c r="D2" s="742"/>
      <c r="E2" s="241" t="s">
        <v>4</v>
      </c>
      <c r="F2" s="241" t="s">
        <v>5</v>
      </c>
      <c r="G2" s="742"/>
      <c r="H2" s="742"/>
      <c r="I2" s="742"/>
      <c r="J2" s="742"/>
      <c r="K2" s="742"/>
      <c r="L2" s="241" t="s">
        <v>13</v>
      </c>
      <c r="M2" s="241" t="s">
        <v>59</v>
      </c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239"/>
    </row>
    <row r="3" spans="1:25" ht="15.75" customHeight="1" x14ac:dyDescent="0.2">
      <c r="A3" s="217">
        <v>1</v>
      </c>
      <c r="B3" s="257" t="s">
        <v>60</v>
      </c>
      <c r="C3" s="217" t="s">
        <v>30</v>
      </c>
      <c r="D3" s="217">
        <v>1</v>
      </c>
      <c r="E3" s="217">
        <v>18.3</v>
      </c>
      <c r="F3" s="217">
        <v>5.6</v>
      </c>
      <c r="G3" s="258">
        <f>E3*F3*D3</f>
        <v>102.48</v>
      </c>
      <c r="H3" s="233" t="s">
        <v>61</v>
      </c>
      <c r="I3" s="260">
        <v>25000</v>
      </c>
      <c r="J3" s="261">
        <v>40000</v>
      </c>
      <c r="K3" s="262">
        <v>45000</v>
      </c>
      <c r="L3" s="224"/>
      <c r="M3" s="224"/>
      <c r="N3" s="237" t="s">
        <v>62</v>
      </c>
      <c r="O3" s="237" t="s">
        <v>62</v>
      </c>
      <c r="P3" s="222"/>
      <c r="Q3" s="263"/>
      <c r="R3" s="217"/>
      <c r="S3" s="217"/>
      <c r="T3" s="217"/>
      <c r="U3" s="217"/>
      <c r="V3" s="222"/>
      <c r="W3" s="237"/>
      <c r="X3" s="217"/>
      <c r="Y3" s="265"/>
    </row>
    <row r="4" spans="1:25" ht="34" x14ac:dyDescent="0.2">
      <c r="A4" s="217">
        <v>2</v>
      </c>
      <c r="B4" s="257" t="s">
        <v>63</v>
      </c>
      <c r="C4" s="217" t="s">
        <v>30</v>
      </c>
      <c r="D4" s="217">
        <v>2</v>
      </c>
      <c r="E4" s="217">
        <v>6</v>
      </c>
      <c r="F4" s="217">
        <v>9</v>
      </c>
      <c r="G4" s="259">
        <f>E4*F4*D4</f>
        <v>108</v>
      </c>
      <c r="H4" s="233" t="s">
        <v>64</v>
      </c>
      <c r="I4" s="260">
        <v>15000</v>
      </c>
      <c r="J4" s="261">
        <v>25000</v>
      </c>
      <c r="K4" s="262">
        <v>28000</v>
      </c>
      <c r="L4" s="224"/>
      <c r="M4" s="224"/>
      <c r="N4" s="237" t="s">
        <v>62</v>
      </c>
      <c r="O4" s="237" t="s">
        <v>62</v>
      </c>
      <c r="P4" s="224"/>
      <c r="Q4" s="263"/>
      <c r="R4" s="217"/>
      <c r="S4" s="217"/>
      <c r="T4" s="217"/>
      <c r="U4" s="217"/>
      <c r="V4" s="217"/>
      <c r="W4" s="217"/>
      <c r="X4" s="217"/>
      <c r="Y4" s="265"/>
    </row>
    <row r="5" spans="1:25" s="196" customFormat="1" ht="34" x14ac:dyDescent="0.2">
      <c r="A5" s="217">
        <v>3</v>
      </c>
      <c r="B5" s="257" t="s">
        <v>65</v>
      </c>
      <c r="C5" s="217" t="s">
        <v>30</v>
      </c>
      <c r="D5" s="217">
        <v>7</v>
      </c>
      <c r="E5" s="217" t="s">
        <v>66</v>
      </c>
      <c r="F5" s="217" t="s">
        <v>66</v>
      </c>
      <c r="G5" s="217">
        <f>16*7</f>
        <v>112</v>
      </c>
      <c r="H5" s="233" t="s">
        <v>67</v>
      </c>
      <c r="I5" s="260">
        <v>15000</v>
      </c>
      <c r="J5" s="261">
        <v>20000</v>
      </c>
      <c r="K5" s="262">
        <v>25000</v>
      </c>
      <c r="L5" s="224"/>
      <c r="M5" s="224"/>
      <c r="N5" s="237" t="s">
        <v>62</v>
      </c>
      <c r="O5" s="237" t="s">
        <v>62</v>
      </c>
      <c r="P5" s="224"/>
      <c r="Q5" s="224"/>
      <c r="R5" s="217"/>
      <c r="S5" s="217"/>
      <c r="T5" s="217"/>
      <c r="U5" s="217"/>
      <c r="V5" s="217"/>
      <c r="W5" s="217"/>
      <c r="X5" s="217"/>
      <c r="Y5" s="239"/>
    </row>
    <row r="6" spans="1:25" s="196" customFormat="1" ht="68" x14ac:dyDescent="0.2">
      <c r="A6" s="217">
        <v>4</v>
      </c>
      <c r="B6" s="257" t="s">
        <v>68</v>
      </c>
      <c r="C6" s="217" t="s">
        <v>40</v>
      </c>
      <c r="D6" s="217">
        <v>7</v>
      </c>
      <c r="E6" s="217">
        <v>4</v>
      </c>
      <c r="F6" s="217">
        <v>4</v>
      </c>
      <c r="G6" s="217">
        <f>E6*F6*D6</f>
        <v>112</v>
      </c>
      <c r="H6" s="233" t="s">
        <v>69</v>
      </c>
      <c r="I6" s="260">
        <v>15000</v>
      </c>
      <c r="J6" s="261">
        <v>25000</v>
      </c>
      <c r="K6" s="262">
        <v>30000</v>
      </c>
      <c r="L6" s="224"/>
      <c r="M6" s="224"/>
      <c r="N6" s="237" t="s">
        <v>62</v>
      </c>
      <c r="O6" s="237" t="s">
        <v>62</v>
      </c>
      <c r="P6" s="222"/>
      <c r="Q6" s="263"/>
      <c r="R6" s="217"/>
      <c r="S6" s="217"/>
      <c r="T6" s="217"/>
      <c r="U6" s="217"/>
      <c r="V6" s="217"/>
      <c r="W6" s="217"/>
      <c r="X6" s="217"/>
    </row>
    <row r="7" spans="1:25" s="196" customFormat="1" ht="34" x14ac:dyDescent="0.2">
      <c r="A7" s="217">
        <v>5</v>
      </c>
      <c r="B7" s="257" t="s">
        <v>70</v>
      </c>
      <c r="C7" s="217" t="s">
        <v>30</v>
      </c>
      <c r="D7" s="217">
        <v>1</v>
      </c>
      <c r="E7" s="217">
        <v>15</v>
      </c>
      <c r="F7" s="217">
        <v>8</v>
      </c>
      <c r="G7" s="217">
        <f>E7*F7*D7</f>
        <v>120</v>
      </c>
      <c r="H7" s="233" t="s">
        <v>71</v>
      </c>
      <c r="I7" s="260">
        <v>10000</v>
      </c>
      <c r="J7" s="261">
        <v>15000</v>
      </c>
      <c r="K7" s="262">
        <v>18000</v>
      </c>
      <c r="L7" s="233"/>
      <c r="M7" s="233"/>
      <c r="N7" s="237" t="s">
        <v>62</v>
      </c>
      <c r="O7" s="237" t="s">
        <v>62</v>
      </c>
      <c r="P7" s="207"/>
      <c r="Q7" s="224"/>
      <c r="R7" s="232"/>
      <c r="S7" s="232"/>
      <c r="T7" s="232"/>
      <c r="U7" s="235"/>
      <c r="V7" s="264"/>
      <c r="W7" s="217"/>
      <c r="X7" s="237"/>
      <c r="Y7" s="239"/>
    </row>
    <row r="8" spans="1:25" s="196" customFormat="1" ht="34" x14ac:dyDescent="0.2">
      <c r="A8" s="217">
        <v>6</v>
      </c>
      <c r="B8" s="257" t="s">
        <v>72</v>
      </c>
      <c r="C8" s="217" t="s">
        <v>30</v>
      </c>
      <c r="D8" s="217">
        <v>1</v>
      </c>
      <c r="E8" s="217">
        <v>15</v>
      </c>
      <c r="F8" s="217">
        <v>10</v>
      </c>
      <c r="G8" s="217">
        <f>E8*F8*D8</f>
        <v>150</v>
      </c>
      <c r="H8" s="233" t="s">
        <v>71</v>
      </c>
      <c r="I8" s="260">
        <v>10000</v>
      </c>
      <c r="J8" s="261">
        <v>15000</v>
      </c>
      <c r="K8" s="262">
        <v>18000</v>
      </c>
      <c r="L8" s="233"/>
      <c r="M8" s="233"/>
      <c r="N8" s="237" t="s">
        <v>62</v>
      </c>
      <c r="O8" s="237" t="s">
        <v>62</v>
      </c>
      <c r="P8" s="207"/>
      <c r="Q8" s="224"/>
      <c r="R8" s="232"/>
      <c r="S8" s="232"/>
      <c r="T8" s="232"/>
      <c r="U8" s="235"/>
      <c r="V8" s="264"/>
      <c r="W8" s="217"/>
      <c r="X8" s="237"/>
      <c r="Y8" s="239"/>
    </row>
    <row r="9" spans="1:25" s="196" customFormat="1" ht="34" x14ac:dyDescent="0.2">
      <c r="A9" s="217">
        <v>7</v>
      </c>
      <c r="B9" s="257" t="s">
        <v>73</v>
      </c>
      <c r="C9" s="217" t="s">
        <v>30</v>
      </c>
      <c r="D9" s="217">
        <v>1</v>
      </c>
      <c r="E9" s="217">
        <v>9</v>
      </c>
      <c r="F9" s="217">
        <v>6</v>
      </c>
      <c r="G9" s="217">
        <f>E9*F9*D9</f>
        <v>54</v>
      </c>
      <c r="H9" s="233" t="s">
        <v>71</v>
      </c>
      <c r="I9" s="260">
        <v>10000</v>
      </c>
      <c r="J9" s="261">
        <v>20000</v>
      </c>
      <c r="K9" s="262">
        <v>30000</v>
      </c>
      <c r="L9" s="233"/>
      <c r="M9" s="233"/>
      <c r="N9" s="237" t="s">
        <v>62</v>
      </c>
      <c r="O9" s="237" t="s">
        <v>62</v>
      </c>
      <c r="P9" s="207"/>
      <c r="Q9" s="224"/>
      <c r="R9" s="232"/>
      <c r="S9" s="232"/>
      <c r="T9" s="232"/>
      <c r="U9" s="235"/>
      <c r="V9" s="264"/>
      <c r="W9" s="217"/>
      <c r="X9" s="237"/>
      <c r="Y9" s="239"/>
    </row>
    <row r="10" spans="1:25" s="196" customFormat="1" x14ac:dyDescent="0.2">
      <c r="B10" s="240"/>
      <c r="H10" s="240"/>
      <c r="N10" s="240"/>
      <c r="O10" s="240"/>
    </row>
  </sheetData>
  <mergeCells count="22"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T1:T2"/>
    <mergeCell ref="N1:N2"/>
    <mergeCell ref="A1:A2"/>
    <mergeCell ref="B1:B2"/>
    <mergeCell ref="C1:C2"/>
    <mergeCell ref="D1:D2"/>
    <mergeCell ref="E1:F1"/>
    <mergeCell ref="G1:G2"/>
    <mergeCell ref="H1:H2"/>
    <mergeCell ref="I1:I2"/>
    <mergeCell ref="J1:J2"/>
    <mergeCell ref="K1:K2"/>
    <mergeCell ref="L1:M1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7"/>
  <dimension ref="A1:AF15"/>
  <sheetViews>
    <sheetView workbookViewId="0">
      <pane ySplit="2" topLeftCell="A3" activePane="bottomLeft" state="frozen"/>
      <selection activeCell="C14" sqref="C14"/>
      <selection pane="bottomLeft" activeCell="K15" sqref="K15"/>
    </sheetView>
  </sheetViews>
  <sheetFormatPr baseColWidth="10" defaultColWidth="9.1640625" defaultRowHeight="15" x14ac:dyDescent="0.2"/>
  <cols>
    <col min="1" max="1" width="6" style="326" bestFit="1" customWidth="1"/>
    <col min="2" max="2" width="7.5" style="312" bestFit="1" customWidth="1"/>
    <col min="3" max="3" width="32.33203125" style="350" bestFit="1" customWidth="1"/>
    <col min="4" max="5" width="10.1640625" style="350" hidden="1" customWidth="1"/>
    <col min="6" max="6" width="7.33203125" style="312" bestFit="1" customWidth="1"/>
    <col min="7" max="7" width="3" style="312" bestFit="1" customWidth="1"/>
    <col min="8" max="8" width="2.33203125" style="312" bestFit="1" customWidth="1"/>
    <col min="9" max="9" width="6.33203125" style="312" bestFit="1" customWidth="1"/>
    <col min="10" max="10" width="4.5" style="326" customWidth="1"/>
    <col min="11" max="11" width="11.6640625" style="312" customWidth="1"/>
    <col min="12" max="12" width="9.5" style="312" customWidth="1"/>
    <col min="13" max="13" width="4" style="312" hidden="1" customWidth="1"/>
    <col min="14" max="14" width="5" style="312" hidden="1" customWidth="1"/>
    <col min="15" max="15" width="7.33203125" style="312" customWidth="1"/>
    <col min="16" max="16" width="4" style="312" hidden="1" customWidth="1"/>
    <col min="17" max="17" width="6" style="312" hidden="1" customWidth="1"/>
    <col min="18" max="18" width="9.6640625" style="312" customWidth="1"/>
    <col min="19" max="19" width="4" style="312" hidden="1" customWidth="1"/>
    <col min="20" max="20" width="6" style="312" hidden="1" customWidth="1"/>
    <col min="21" max="21" width="10.5" style="312" customWidth="1"/>
    <col min="22" max="22" width="11" style="312" customWidth="1"/>
    <col min="23" max="23" width="18.33203125" style="312" bestFit="1" customWidth="1"/>
    <col min="24" max="24" width="6.5" style="312" customWidth="1"/>
    <col min="25" max="25" width="9.1640625" style="312" bestFit="1" customWidth="1"/>
    <col min="26" max="26" width="14.5" style="350" bestFit="1" customWidth="1"/>
    <col min="27" max="27" width="11.33203125" style="350" bestFit="1" customWidth="1"/>
    <col min="28" max="28" width="10.1640625" style="312" bestFit="1" customWidth="1"/>
    <col min="29" max="29" width="13.1640625" style="312" bestFit="1" customWidth="1"/>
    <col min="30" max="30" width="10.6640625" style="312" customWidth="1"/>
    <col min="31" max="31" width="9.1640625" style="312"/>
    <col min="32" max="32" width="11.33203125" style="312" customWidth="1"/>
    <col min="33" max="16384" width="9.1640625" style="312"/>
  </cols>
  <sheetData>
    <row r="1" spans="1:32" s="324" customFormat="1" x14ac:dyDescent="0.2">
      <c r="A1" s="752" t="s">
        <v>252</v>
      </c>
      <c r="B1" s="752" t="s">
        <v>75</v>
      </c>
      <c r="C1" s="753" t="s">
        <v>95</v>
      </c>
      <c r="D1" s="754" t="s">
        <v>403</v>
      </c>
      <c r="E1" s="755"/>
      <c r="F1" s="752" t="s">
        <v>3</v>
      </c>
      <c r="G1" s="752" t="s">
        <v>52</v>
      </c>
      <c r="H1" s="752"/>
      <c r="I1" s="752" t="s">
        <v>487</v>
      </c>
      <c r="J1" s="752" t="s">
        <v>6</v>
      </c>
      <c r="K1" s="752" t="s">
        <v>266</v>
      </c>
      <c r="L1" s="749" t="s">
        <v>84</v>
      </c>
      <c r="M1" s="340"/>
      <c r="N1" s="340"/>
      <c r="O1" s="750" t="s">
        <v>77</v>
      </c>
      <c r="P1" s="341"/>
      <c r="Q1" s="341"/>
      <c r="R1" s="751" t="s">
        <v>704</v>
      </c>
      <c r="S1" s="308"/>
      <c r="T1" s="308"/>
      <c r="U1" s="748" t="s">
        <v>488</v>
      </c>
      <c r="V1" s="748" t="s">
        <v>489</v>
      </c>
      <c r="W1" s="748" t="s">
        <v>15</v>
      </c>
      <c r="X1" s="748" t="s">
        <v>18</v>
      </c>
      <c r="Y1" s="748" t="s">
        <v>479</v>
      </c>
      <c r="Z1" s="748" t="s">
        <v>86</v>
      </c>
      <c r="AA1" s="748" t="s">
        <v>87</v>
      </c>
      <c r="AB1" s="748" t="s">
        <v>80</v>
      </c>
      <c r="AC1" s="748" t="s">
        <v>16</v>
      </c>
      <c r="AD1" s="748" t="s">
        <v>88</v>
      </c>
      <c r="AE1" s="748" t="s">
        <v>89</v>
      </c>
      <c r="AF1" s="748" t="s">
        <v>438</v>
      </c>
    </row>
    <row r="2" spans="1:32" s="324" customFormat="1" ht="16" x14ac:dyDescent="0.2">
      <c r="A2" s="752"/>
      <c r="B2" s="752"/>
      <c r="C2" s="753"/>
      <c r="D2" s="339"/>
      <c r="E2" s="339"/>
      <c r="F2" s="752"/>
      <c r="G2" s="338" t="s">
        <v>4</v>
      </c>
      <c r="H2" s="338" t="s">
        <v>5</v>
      </c>
      <c r="I2" s="752"/>
      <c r="J2" s="752"/>
      <c r="K2" s="752"/>
      <c r="L2" s="749"/>
      <c r="M2" s="340"/>
      <c r="N2" s="340"/>
      <c r="O2" s="750"/>
      <c r="P2" s="341"/>
      <c r="Q2" s="341"/>
      <c r="R2" s="751"/>
      <c r="S2" s="308"/>
      <c r="T2" s="308"/>
      <c r="U2" s="748"/>
      <c r="V2" s="748"/>
      <c r="W2" s="748"/>
      <c r="X2" s="748"/>
      <c r="Y2" s="748"/>
      <c r="Z2" s="748"/>
      <c r="AA2" s="748"/>
      <c r="AB2" s="748"/>
      <c r="AC2" s="748"/>
      <c r="AD2" s="748"/>
      <c r="AE2" s="748"/>
      <c r="AF2" s="748"/>
    </row>
    <row r="3" spans="1:32" hidden="1" x14ac:dyDescent="0.2">
      <c r="A3" s="342">
        <v>1</v>
      </c>
      <c r="B3" s="307" t="s">
        <v>25</v>
      </c>
      <c r="C3" s="465" t="s">
        <v>486</v>
      </c>
      <c r="D3" s="343" t="s">
        <v>401</v>
      </c>
      <c r="E3" s="472" t="s">
        <v>700</v>
      </c>
      <c r="F3" s="307" t="s">
        <v>296</v>
      </c>
      <c r="G3" s="342">
        <v>3</v>
      </c>
      <c r="H3" s="342">
        <v>4</v>
      </c>
      <c r="I3" s="342" t="s">
        <v>267</v>
      </c>
      <c r="J3" s="342">
        <v>6</v>
      </c>
      <c r="K3" s="307" t="s">
        <v>299</v>
      </c>
      <c r="L3" s="307">
        <f>6*7500</f>
        <v>45000</v>
      </c>
      <c r="M3" s="344">
        <f t="shared" ref="M3:M9" si="0">L3/12/J3</f>
        <v>625</v>
      </c>
      <c r="N3" s="344">
        <v>7500</v>
      </c>
      <c r="O3" s="307">
        <f>8400*6</f>
        <v>50400</v>
      </c>
      <c r="P3" s="344">
        <f t="shared" ref="P3:P9" si="1">O3/12/J3</f>
        <v>700</v>
      </c>
      <c r="Q3" s="344">
        <v>8400</v>
      </c>
      <c r="R3" s="307">
        <f>6*9400</f>
        <v>56400</v>
      </c>
      <c r="S3" s="344">
        <f t="shared" ref="S3:S9" si="2">R3/12/J3</f>
        <v>783.33333333333337</v>
      </c>
      <c r="T3" s="344">
        <v>9400</v>
      </c>
      <c r="U3" s="485"/>
      <c r="V3" s="485"/>
      <c r="W3" s="490" t="s">
        <v>91</v>
      </c>
      <c r="X3" s="485"/>
      <c r="Y3" s="346"/>
      <c r="Z3" s="346" t="s">
        <v>722</v>
      </c>
      <c r="AA3" s="346"/>
      <c r="AB3" s="346"/>
      <c r="AC3" s="346"/>
      <c r="AD3" s="311"/>
      <c r="AE3" s="311"/>
      <c r="AF3" s="319"/>
    </row>
    <row r="4" spans="1:32" hidden="1" x14ac:dyDescent="0.2">
      <c r="A4" s="342">
        <v>2</v>
      </c>
      <c r="B4" s="307" t="s">
        <v>25</v>
      </c>
      <c r="C4" s="393" t="s">
        <v>480</v>
      </c>
      <c r="D4" s="343" t="s">
        <v>401</v>
      </c>
      <c r="E4" s="472" t="s">
        <v>700</v>
      </c>
      <c r="F4" s="307" t="s">
        <v>296</v>
      </c>
      <c r="G4" s="342">
        <v>3</v>
      </c>
      <c r="H4" s="342">
        <v>4</v>
      </c>
      <c r="I4" s="342" t="s">
        <v>267</v>
      </c>
      <c r="J4" s="342">
        <v>9</v>
      </c>
      <c r="K4" s="307" t="s">
        <v>299</v>
      </c>
      <c r="L4" s="307">
        <f>9*7500</f>
        <v>67500</v>
      </c>
      <c r="M4" s="344">
        <f t="shared" si="0"/>
        <v>625</v>
      </c>
      <c r="N4" s="344">
        <v>7500</v>
      </c>
      <c r="O4" s="307">
        <f>8400*9</f>
        <v>75600</v>
      </c>
      <c r="P4" s="344">
        <f t="shared" si="1"/>
        <v>700</v>
      </c>
      <c r="Q4" s="344">
        <v>8400</v>
      </c>
      <c r="R4" s="307">
        <f>9*9400</f>
        <v>84600</v>
      </c>
      <c r="S4" s="344">
        <f t="shared" si="2"/>
        <v>783.33333333333337</v>
      </c>
      <c r="T4" s="344">
        <v>9400</v>
      </c>
      <c r="U4" s="485"/>
      <c r="V4" s="485"/>
      <c r="W4" s="490" t="s">
        <v>91</v>
      </c>
      <c r="X4" s="485"/>
      <c r="Y4" s="346"/>
      <c r="Z4" s="346" t="s">
        <v>722</v>
      </c>
      <c r="AA4" s="346"/>
      <c r="AB4" s="346"/>
      <c r="AC4" s="346"/>
      <c r="AD4" s="311"/>
      <c r="AE4" s="311"/>
      <c r="AF4" s="319"/>
    </row>
    <row r="5" spans="1:32" hidden="1" x14ac:dyDescent="0.2">
      <c r="A5" s="342">
        <v>3</v>
      </c>
      <c r="B5" s="307" t="s">
        <v>25</v>
      </c>
      <c r="C5" s="465" t="s">
        <v>481</v>
      </c>
      <c r="D5" s="343" t="s">
        <v>401</v>
      </c>
      <c r="E5" s="472" t="s">
        <v>700</v>
      </c>
      <c r="F5" s="307" t="s">
        <v>296</v>
      </c>
      <c r="G5" s="342">
        <v>3</v>
      </c>
      <c r="H5" s="342">
        <v>4</v>
      </c>
      <c r="I5" s="342" t="s">
        <v>267</v>
      </c>
      <c r="J5" s="342">
        <v>7</v>
      </c>
      <c r="K5" s="307" t="s">
        <v>299</v>
      </c>
      <c r="L5" s="307">
        <f>7*7500</f>
        <v>52500</v>
      </c>
      <c r="M5" s="344">
        <f t="shared" si="0"/>
        <v>625</v>
      </c>
      <c r="N5" s="344">
        <v>7500</v>
      </c>
      <c r="O5" s="307">
        <f>8400*7</f>
        <v>58800</v>
      </c>
      <c r="P5" s="344">
        <f t="shared" si="1"/>
        <v>700</v>
      </c>
      <c r="Q5" s="344">
        <v>8400</v>
      </c>
      <c r="R5" s="307">
        <f>T5*J5</f>
        <v>65800</v>
      </c>
      <c r="S5" s="344">
        <f t="shared" si="2"/>
        <v>783.33333333333326</v>
      </c>
      <c r="T5" s="344">
        <v>9400</v>
      </c>
      <c r="U5" s="485"/>
      <c r="V5" s="485"/>
      <c r="W5" s="490" t="s">
        <v>91</v>
      </c>
      <c r="X5" s="485"/>
      <c r="Y5" s="346"/>
      <c r="Z5" s="346" t="s">
        <v>722</v>
      </c>
      <c r="AA5" s="346"/>
      <c r="AB5" s="346"/>
      <c r="AC5" s="346"/>
      <c r="AD5" s="311"/>
      <c r="AE5" s="311"/>
      <c r="AF5" s="319"/>
    </row>
    <row r="6" spans="1:32" ht="15" customHeight="1" x14ac:dyDescent="0.2">
      <c r="A6" s="342">
        <v>4</v>
      </c>
      <c r="B6" s="307" t="s">
        <v>25</v>
      </c>
      <c r="C6" s="440" t="s">
        <v>482</v>
      </c>
      <c r="D6" s="345" t="s">
        <v>401</v>
      </c>
      <c r="E6" s="319" t="s">
        <v>533</v>
      </c>
      <c r="F6" s="307" t="s">
        <v>296</v>
      </c>
      <c r="G6" s="342">
        <v>3</v>
      </c>
      <c r="H6" s="342">
        <v>4</v>
      </c>
      <c r="I6" s="342" t="s">
        <v>267</v>
      </c>
      <c r="J6" s="342">
        <v>20</v>
      </c>
      <c r="K6" s="307" t="s">
        <v>299</v>
      </c>
      <c r="L6" s="307">
        <f>N6*J6</f>
        <v>80000</v>
      </c>
      <c r="M6" s="344">
        <f t="shared" si="0"/>
        <v>333.33333333333337</v>
      </c>
      <c r="N6" s="344">
        <v>4000</v>
      </c>
      <c r="O6" s="307">
        <f>Q6*J6</f>
        <v>90000</v>
      </c>
      <c r="P6" s="344">
        <f t="shared" si="1"/>
        <v>375</v>
      </c>
      <c r="Q6" s="344">
        <v>4500</v>
      </c>
      <c r="R6" s="307">
        <f>T6*J6</f>
        <v>100000</v>
      </c>
      <c r="S6" s="344">
        <f t="shared" si="2"/>
        <v>416.66666666666669</v>
      </c>
      <c r="T6" s="344">
        <v>5000</v>
      </c>
      <c r="U6" s="745" t="s">
        <v>567</v>
      </c>
      <c r="V6" s="746"/>
      <c r="W6" s="746"/>
      <c r="X6" s="746"/>
      <c r="Y6" s="747"/>
      <c r="Z6" s="311" t="s">
        <v>705</v>
      </c>
      <c r="AA6" s="319"/>
      <c r="AB6" s="311"/>
      <c r="AC6" s="485" t="s">
        <v>720</v>
      </c>
      <c r="AD6" s="311"/>
      <c r="AE6" s="311"/>
      <c r="AF6" s="319" t="s">
        <v>706</v>
      </c>
    </row>
    <row r="7" spans="1:32" x14ac:dyDescent="0.2">
      <c r="A7" s="342">
        <v>5</v>
      </c>
      <c r="B7" s="307" t="s">
        <v>25</v>
      </c>
      <c r="C7" s="393" t="s">
        <v>483</v>
      </c>
      <c r="D7" s="343" t="s">
        <v>401</v>
      </c>
      <c r="E7" s="319" t="s">
        <v>533</v>
      </c>
      <c r="F7" s="307" t="s">
        <v>296</v>
      </c>
      <c r="G7" s="342">
        <v>3</v>
      </c>
      <c r="H7" s="342">
        <v>4</v>
      </c>
      <c r="I7" s="342" t="s">
        <v>267</v>
      </c>
      <c r="J7" s="342">
        <v>16</v>
      </c>
      <c r="K7" s="307" t="s">
        <v>299</v>
      </c>
      <c r="L7" s="307">
        <f>N7*J7</f>
        <v>64000</v>
      </c>
      <c r="M7" s="344">
        <f t="shared" si="0"/>
        <v>333.33333333333331</v>
      </c>
      <c r="N7" s="344">
        <v>4000</v>
      </c>
      <c r="O7" s="307">
        <f>Q7*J7</f>
        <v>72000</v>
      </c>
      <c r="P7" s="344">
        <f t="shared" si="1"/>
        <v>375</v>
      </c>
      <c r="Q7" s="344">
        <v>4500</v>
      </c>
      <c r="R7" s="307">
        <f>T7*J7</f>
        <v>80000</v>
      </c>
      <c r="S7" s="344">
        <f t="shared" si="2"/>
        <v>416.66666666666669</v>
      </c>
      <c r="T7" s="344">
        <v>5000</v>
      </c>
      <c r="U7" s="745" t="s">
        <v>567</v>
      </c>
      <c r="V7" s="746"/>
      <c r="W7" s="746"/>
      <c r="X7" s="746"/>
      <c r="Y7" s="747"/>
      <c r="Z7" s="311" t="s">
        <v>705</v>
      </c>
      <c r="AA7" s="319"/>
      <c r="AB7" s="311"/>
      <c r="AC7" s="485" t="s">
        <v>720</v>
      </c>
      <c r="AD7" s="311"/>
      <c r="AE7" s="311"/>
      <c r="AF7" s="319" t="s">
        <v>707</v>
      </c>
    </row>
    <row r="8" spans="1:32" ht="16" x14ac:dyDescent="0.2">
      <c r="A8" s="342">
        <v>6</v>
      </c>
      <c r="B8" s="307" t="s">
        <v>25</v>
      </c>
      <c r="C8" s="394" t="s">
        <v>484</v>
      </c>
      <c r="D8" s="347" t="s">
        <v>404</v>
      </c>
      <c r="E8" s="319" t="s">
        <v>561</v>
      </c>
      <c r="F8" s="307" t="s">
        <v>296</v>
      </c>
      <c r="G8" s="342">
        <v>3</v>
      </c>
      <c r="H8" s="342">
        <v>4</v>
      </c>
      <c r="I8" s="342" t="s">
        <v>267</v>
      </c>
      <c r="J8" s="289">
        <v>12</v>
      </c>
      <c r="K8" s="307" t="s">
        <v>299</v>
      </c>
      <c r="L8" s="307">
        <v>40000</v>
      </c>
      <c r="M8" s="344">
        <f t="shared" si="0"/>
        <v>277.77777777777777</v>
      </c>
      <c r="N8" s="344"/>
      <c r="O8" s="307">
        <v>50000</v>
      </c>
      <c r="P8" s="344">
        <f t="shared" si="1"/>
        <v>347.22222222222223</v>
      </c>
      <c r="Q8" s="344"/>
      <c r="R8" s="307">
        <v>60000</v>
      </c>
      <c r="S8" s="344">
        <f t="shared" si="2"/>
        <v>416.66666666666669</v>
      </c>
      <c r="T8" s="344"/>
      <c r="U8" s="745" t="s">
        <v>567</v>
      </c>
      <c r="V8" s="746"/>
      <c r="W8" s="746"/>
      <c r="X8" s="746"/>
      <c r="Y8" s="747"/>
      <c r="Z8" s="311" t="s">
        <v>705</v>
      </c>
      <c r="AA8" s="319"/>
      <c r="AB8" s="311"/>
      <c r="AC8" s="485" t="s">
        <v>720</v>
      </c>
      <c r="AD8" s="311"/>
      <c r="AE8" s="311"/>
      <c r="AF8" s="319" t="s">
        <v>708</v>
      </c>
    </row>
    <row r="9" spans="1:32" x14ac:dyDescent="0.2">
      <c r="A9" s="342">
        <v>7</v>
      </c>
      <c r="B9" s="311" t="s">
        <v>25</v>
      </c>
      <c r="C9" s="423" t="s">
        <v>485</v>
      </c>
      <c r="D9" s="343" t="s">
        <v>401</v>
      </c>
      <c r="E9" s="319" t="s">
        <v>533</v>
      </c>
      <c r="F9" s="290" t="s">
        <v>296</v>
      </c>
      <c r="G9" s="289">
        <v>3</v>
      </c>
      <c r="H9" s="289">
        <v>4</v>
      </c>
      <c r="I9" s="289" t="s">
        <v>267</v>
      </c>
      <c r="J9" s="289">
        <v>18</v>
      </c>
      <c r="K9" s="348" t="s">
        <v>299</v>
      </c>
      <c r="L9" s="311">
        <f>N9*J9</f>
        <v>72000</v>
      </c>
      <c r="M9" s="349">
        <f t="shared" si="0"/>
        <v>333.33333333333331</v>
      </c>
      <c r="N9" s="349">
        <v>4000</v>
      </c>
      <c r="O9" s="311">
        <f>Q9*J9</f>
        <v>81000</v>
      </c>
      <c r="P9" s="349">
        <f t="shared" si="1"/>
        <v>375</v>
      </c>
      <c r="Q9" s="349">
        <v>4500</v>
      </c>
      <c r="R9" s="311">
        <f>T9*J9</f>
        <v>90000</v>
      </c>
      <c r="S9" s="349">
        <f t="shared" si="2"/>
        <v>416.66666666666669</v>
      </c>
      <c r="T9" s="349">
        <v>5000</v>
      </c>
      <c r="U9" s="392"/>
      <c r="V9" s="426"/>
      <c r="W9" s="418" t="s">
        <v>567</v>
      </c>
      <c r="X9" s="386"/>
      <c r="Y9" s="346"/>
      <c r="Z9" s="311" t="s">
        <v>705</v>
      </c>
      <c r="AA9" s="319"/>
      <c r="AB9" s="311"/>
      <c r="AC9" s="485" t="s">
        <v>720</v>
      </c>
      <c r="AD9" s="311"/>
      <c r="AE9" s="311"/>
      <c r="AF9" s="319" t="s">
        <v>709</v>
      </c>
    </row>
    <row r="10" spans="1:32" x14ac:dyDescent="0.2">
      <c r="A10" s="289"/>
      <c r="B10" s="311"/>
      <c r="C10" s="319"/>
      <c r="D10" s="319"/>
      <c r="E10" s="319"/>
      <c r="F10" s="311"/>
      <c r="G10" s="311"/>
      <c r="H10" s="311"/>
      <c r="I10" s="311"/>
      <c r="J10" s="289">
        <f>SUBTOTAL(9,J3:J9)</f>
        <v>88</v>
      </c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9"/>
      <c r="Y10" s="319"/>
      <c r="Z10" s="311" t="s">
        <v>705</v>
      </c>
      <c r="AA10" s="319"/>
      <c r="AB10" s="311"/>
      <c r="AC10" s="485" t="s">
        <v>720</v>
      </c>
      <c r="AD10" s="311"/>
      <c r="AE10" s="311"/>
      <c r="AF10" s="319" t="s">
        <v>710</v>
      </c>
    </row>
    <row r="11" spans="1:32" x14ac:dyDescent="0.2">
      <c r="Z11" s="311" t="s">
        <v>705</v>
      </c>
      <c r="AC11" s="485" t="s">
        <v>720</v>
      </c>
      <c r="AF11" s="319" t="s">
        <v>711</v>
      </c>
    </row>
    <row r="12" spans="1:32" x14ac:dyDescent="0.2">
      <c r="Z12" s="311" t="s">
        <v>705</v>
      </c>
      <c r="AC12" s="485" t="s">
        <v>720</v>
      </c>
      <c r="AF12" s="319" t="s">
        <v>712</v>
      </c>
    </row>
    <row r="13" spans="1:32" x14ac:dyDescent="0.2">
      <c r="W13" s="351"/>
    </row>
    <row r="14" spans="1:32" x14ac:dyDescent="0.2">
      <c r="AA14" s="312"/>
    </row>
    <row r="15" spans="1:32" x14ac:dyDescent="0.2">
      <c r="O15" s="422"/>
      <c r="R15" s="422"/>
      <c r="V15" s="376"/>
      <c r="AA15" s="312"/>
    </row>
  </sheetData>
  <mergeCells count="27">
    <mergeCell ref="AB1:AB2"/>
    <mergeCell ref="AC1:AC2"/>
    <mergeCell ref="AD1:AD2"/>
    <mergeCell ref="AE1:AE2"/>
    <mergeCell ref="AF1:AF2"/>
    <mergeCell ref="K1:K2"/>
    <mergeCell ref="G1:H1"/>
    <mergeCell ref="A1:A2"/>
    <mergeCell ref="B1:B2"/>
    <mergeCell ref="C1:C2"/>
    <mergeCell ref="F1:F2"/>
    <mergeCell ref="J1:J2"/>
    <mergeCell ref="I1:I2"/>
    <mergeCell ref="D1:E1"/>
    <mergeCell ref="L1:L2"/>
    <mergeCell ref="O1:O2"/>
    <mergeCell ref="R1:R2"/>
    <mergeCell ref="U1:U2"/>
    <mergeCell ref="V1:V2"/>
    <mergeCell ref="U6:Y6"/>
    <mergeCell ref="U7:Y7"/>
    <mergeCell ref="U8:Y8"/>
    <mergeCell ref="Z1:Z2"/>
    <mergeCell ref="AA1:AA2"/>
    <mergeCell ref="Y1:Y2"/>
    <mergeCell ref="X1:X2"/>
    <mergeCell ref="W1:W2"/>
  </mergeCells>
  <phoneticPr fontId="172" type="noConversion"/>
  <pageMargins left="1.1023622047244095" right="0.11811023622047245" top="1.7716535433070868" bottom="0.74803149606299213" header="0.31496062992125984" footer="0.31496062992125984"/>
  <pageSetup paperSize="9" scale="10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AG69"/>
  <sheetViews>
    <sheetView topLeftCell="A33" zoomScaleNormal="100" workbookViewId="0">
      <selection activeCell="A17" sqref="A17:N51"/>
    </sheetView>
  </sheetViews>
  <sheetFormatPr baseColWidth="10" defaultColWidth="9.1640625" defaultRowHeight="15" x14ac:dyDescent="0.2"/>
  <cols>
    <col min="1" max="1" width="5.83203125" style="326" customWidth="1"/>
    <col min="2" max="2" width="7.5" style="312" bestFit="1" customWidth="1"/>
    <col min="3" max="3" width="47.33203125" style="329" customWidth="1"/>
    <col min="4" max="4" width="8" style="329" hidden="1" customWidth="1"/>
    <col min="5" max="5" width="10.33203125" style="358" customWidth="1"/>
    <col min="6" max="6" width="5.5" style="326" customWidth="1"/>
    <col min="7" max="7" width="3" style="326" hidden="1" customWidth="1"/>
    <col min="8" max="8" width="5.5" style="326" hidden="1" customWidth="1"/>
    <col min="9" max="9" width="3" style="326" hidden="1" customWidth="1"/>
    <col min="10" max="10" width="5.33203125" style="326" hidden="1" customWidth="1"/>
    <col min="11" max="11" width="3" style="326" bestFit="1" customWidth="1"/>
    <col min="12" max="12" width="4.1640625" style="326" customWidth="1"/>
    <col min="13" max="13" width="6.5" style="326" customWidth="1"/>
    <col min="14" max="14" width="6.6640625" style="326" customWidth="1"/>
    <col min="15" max="15" width="11.6640625" style="326" customWidth="1"/>
    <col min="16" max="16" width="8" style="326" hidden="1" customWidth="1"/>
    <col min="17" max="17" width="8" style="326" customWidth="1"/>
    <col min="18" max="18" width="8" style="326" hidden="1" customWidth="1"/>
    <col min="19" max="19" width="8" style="326" customWidth="1"/>
    <col min="20" max="20" width="8" style="326" hidden="1" customWidth="1"/>
    <col min="21" max="21" width="8.5" style="326" customWidth="1"/>
    <col min="22" max="22" width="10.6640625" style="326" customWidth="1"/>
    <col min="23" max="23" width="11.1640625" style="326" customWidth="1"/>
    <col min="24" max="24" width="20.83203125" style="395" bestFit="1" customWidth="1"/>
    <col min="25" max="25" width="15.5" style="326" bestFit="1" customWidth="1"/>
    <col min="26" max="26" width="11.1640625" style="326" bestFit="1" customWidth="1"/>
    <col min="27" max="27" width="11.33203125" style="326" bestFit="1" customWidth="1"/>
    <col min="28" max="28" width="9.83203125" style="326" customWidth="1"/>
    <col min="29" max="29" width="11.33203125" style="326" bestFit="1" customWidth="1"/>
    <col min="30" max="30" width="15.5" style="326" customWidth="1"/>
    <col min="31" max="32" width="10.5" style="312" customWidth="1"/>
    <col min="33" max="33" width="18.33203125" style="312" customWidth="1"/>
    <col min="34" max="16384" width="9.1640625" style="312"/>
  </cols>
  <sheetData>
    <row r="1" spans="1:33" x14ac:dyDescent="0.2">
      <c r="A1" s="312"/>
      <c r="C1" s="324"/>
      <c r="D1" s="385"/>
      <c r="N1" s="327">
        <v>8000</v>
      </c>
      <c r="O1" s="327">
        <v>10000</v>
      </c>
      <c r="P1" s="327">
        <v>12000</v>
      </c>
      <c r="Q1" s="327"/>
      <c r="R1" s="327">
        <v>15000</v>
      </c>
      <c r="S1" s="327">
        <v>18000</v>
      </c>
      <c r="AB1" s="362" t="s">
        <v>406</v>
      </c>
      <c r="AC1" s="326">
        <v>30</v>
      </c>
      <c r="AG1" s="324"/>
    </row>
    <row r="2" spans="1:33" x14ac:dyDescent="0.2">
      <c r="A2" s="312"/>
      <c r="C2" s="324"/>
      <c r="D2" s="312"/>
      <c r="N2" s="327">
        <v>10000</v>
      </c>
      <c r="O2" s="327">
        <v>12000</v>
      </c>
      <c r="P2" s="327">
        <v>15000</v>
      </c>
      <c r="Q2" s="327"/>
      <c r="R2" s="327"/>
      <c r="S2" s="327"/>
      <c r="AG2" s="324"/>
    </row>
    <row r="3" spans="1:33" s="311" customFormat="1" x14ac:dyDescent="0.2">
      <c r="A3" s="756" t="s">
        <v>0</v>
      </c>
      <c r="B3" s="756" t="s">
        <v>395</v>
      </c>
      <c r="C3" s="756" t="s">
        <v>510</v>
      </c>
      <c r="D3" s="757" t="s">
        <v>417</v>
      </c>
      <c r="E3" s="756" t="s">
        <v>362</v>
      </c>
      <c r="F3" s="756" t="s">
        <v>534</v>
      </c>
      <c r="G3" s="762" t="s">
        <v>547</v>
      </c>
      <c r="H3" s="762"/>
      <c r="I3" s="762"/>
      <c r="J3" s="762"/>
      <c r="K3" s="756" t="s">
        <v>546</v>
      </c>
      <c r="L3" s="756"/>
      <c r="M3" s="756" t="s">
        <v>490</v>
      </c>
      <c r="N3" s="756" t="s">
        <v>360</v>
      </c>
      <c r="O3" s="756" t="s">
        <v>266</v>
      </c>
      <c r="P3" s="757" t="s">
        <v>416</v>
      </c>
      <c r="Q3" s="761" t="s">
        <v>361</v>
      </c>
      <c r="R3" s="757" t="s">
        <v>416</v>
      </c>
      <c r="S3" s="761" t="s">
        <v>11</v>
      </c>
      <c r="T3" s="757" t="s">
        <v>416</v>
      </c>
      <c r="U3" s="761" t="s">
        <v>270</v>
      </c>
      <c r="V3" s="760" t="s">
        <v>13</v>
      </c>
      <c r="W3" s="760" t="s">
        <v>14</v>
      </c>
      <c r="X3" s="759" t="s">
        <v>15</v>
      </c>
      <c r="Y3" s="759" t="s">
        <v>16</v>
      </c>
      <c r="Z3" s="759" t="s">
        <v>17</v>
      </c>
      <c r="AA3" s="759" t="s">
        <v>18</v>
      </c>
      <c r="AB3" s="759" t="s">
        <v>420</v>
      </c>
      <c r="AC3" s="759" t="s">
        <v>18</v>
      </c>
      <c r="AD3" s="759" t="s">
        <v>16</v>
      </c>
      <c r="AE3" s="759" t="s">
        <v>22</v>
      </c>
      <c r="AF3" s="759" t="s">
        <v>23</v>
      </c>
      <c r="AG3" s="759" t="s">
        <v>438</v>
      </c>
    </row>
    <row r="4" spans="1:33" s="289" customFormat="1" ht="16" x14ac:dyDescent="0.2">
      <c r="A4" s="756"/>
      <c r="B4" s="756"/>
      <c r="C4" s="756"/>
      <c r="D4" s="758"/>
      <c r="E4" s="756"/>
      <c r="F4" s="756"/>
      <c r="G4" s="756" t="s">
        <v>418</v>
      </c>
      <c r="H4" s="756"/>
      <c r="I4" s="756" t="s">
        <v>419</v>
      </c>
      <c r="J4" s="756"/>
      <c r="K4" s="291" t="s">
        <v>4</v>
      </c>
      <c r="L4" s="291" t="s">
        <v>5</v>
      </c>
      <c r="M4" s="756"/>
      <c r="N4" s="756"/>
      <c r="O4" s="756"/>
      <c r="P4" s="758"/>
      <c r="Q4" s="761"/>
      <c r="R4" s="758"/>
      <c r="S4" s="761"/>
      <c r="T4" s="758"/>
      <c r="U4" s="761"/>
      <c r="V4" s="760"/>
      <c r="W4" s="760"/>
      <c r="X4" s="759"/>
      <c r="Y4" s="759"/>
      <c r="Z4" s="759"/>
      <c r="AA4" s="759"/>
      <c r="AB4" s="759"/>
      <c r="AC4" s="759"/>
      <c r="AD4" s="759"/>
      <c r="AE4" s="759"/>
      <c r="AF4" s="759"/>
      <c r="AG4" s="759"/>
    </row>
    <row r="5" spans="1:33" ht="32" x14ac:dyDescent="0.2">
      <c r="A5" s="331">
        <v>1</v>
      </c>
      <c r="B5" s="331" t="s">
        <v>396</v>
      </c>
      <c r="C5" s="464" t="s">
        <v>511</v>
      </c>
      <c r="D5" s="367">
        <v>7</v>
      </c>
      <c r="E5" s="368" t="s">
        <v>365</v>
      </c>
      <c r="F5" s="369">
        <v>7</v>
      </c>
      <c r="G5" s="369">
        <v>77</v>
      </c>
      <c r="H5" s="369">
        <v>101</v>
      </c>
      <c r="I5" s="369">
        <v>71</v>
      </c>
      <c r="J5" s="369">
        <v>94</v>
      </c>
      <c r="K5" s="369">
        <v>6</v>
      </c>
      <c r="L5" s="369">
        <v>8</v>
      </c>
      <c r="M5" s="331">
        <f>K5*L5*F5*2</f>
        <v>672</v>
      </c>
      <c r="N5" s="331" t="s">
        <v>40</v>
      </c>
      <c r="O5" s="331" t="s">
        <v>299</v>
      </c>
      <c r="P5" s="331">
        <v>8000</v>
      </c>
      <c r="Q5" s="331">
        <f>P5*F5</f>
        <v>56000</v>
      </c>
      <c r="R5" s="331">
        <v>10000</v>
      </c>
      <c r="S5" s="331">
        <f>R5*F5</f>
        <v>70000</v>
      </c>
      <c r="T5" s="331">
        <v>12000</v>
      </c>
      <c r="U5" s="331">
        <f>T5*F5</f>
        <v>84000</v>
      </c>
      <c r="V5" s="363" t="s">
        <v>421</v>
      </c>
      <c r="W5" s="363" t="s">
        <v>577</v>
      </c>
      <c r="X5" s="322" t="s">
        <v>557</v>
      </c>
      <c r="Y5" s="364" t="s">
        <v>109</v>
      </c>
      <c r="Z5" s="321">
        <v>45323</v>
      </c>
      <c r="AA5" s="378" t="s">
        <v>245</v>
      </c>
      <c r="AB5" s="289"/>
      <c r="AC5" s="289"/>
      <c r="AD5" s="289"/>
      <c r="AE5" s="370"/>
      <c r="AF5" s="449" t="s">
        <v>651</v>
      </c>
      <c r="AG5" s="383" t="s">
        <v>555</v>
      </c>
    </row>
    <row r="6" spans="1:33" ht="32" x14ac:dyDescent="0.2">
      <c r="A6" s="289">
        <v>2</v>
      </c>
      <c r="B6" s="311" t="s">
        <v>396</v>
      </c>
      <c r="C6" s="323" t="s">
        <v>512</v>
      </c>
      <c r="D6" s="316">
        <v>5</v>
      </c>
      <c r="E6" s="360" t="s">
        <v>366</v>
      </c>
      <c r="F6" s="289">
        <v>5</v>
      </c>
      <c r="G6" s="289">
        <v>77</v>
      </c>
      <c r="H6" s="289">
        <v>101</v>
      </c>
      <c r="I6" s="289">
        <v>71</v>
      </c>
      <c r="J6" s="289">
        <v>94</v>
      </c>
      <c r="K6" s="289">
        <v>6</v>
      </c>
      <c r="L6" s="289">
        <v>8</v>
      </c>
      <c r="M6" s="328">
        <f t="shared" ref="M6:M15" si="0">K6*L6*F6*2</f>
        <v>480</v>
      </c>
      <c r="N6" s="289" t="s">
        <v>40</v>
      </c>
      <c r="O6" s="289" t="s">
        <v>299</v>
      </c>
      <c r="P6" s="289">
        <v>12000</v>
      </c>
      <c r="Q6" s="328">
        <f t="shared" ref="Q6:Q51" si="1">P6*F6</f>
        <v>60000</v>
      </c>
      <c r="R6" s="289">
        <v>15000</v>
      </c>
      <c r="S6" s="328">
        <f t="shared" ref="S6:S51" si="2">R6*F6</f>
        <v>75000</v>
      </c>
      <c r="T6" s="289">
        <v>18000</v>
      </c>
      <c r="U6" s="328">
        <f t="shared" ref="U6:U15" si="3">T6*F6</f>
        <v>90000</v>
      </c>
      <c r="V6" s="363"/>
      <c r="W6" s="448"/>
      <c r="X6" s="439" t="s">
        <v>29</v>
      </c>
      <c r="Y6" s="439" t="s">
        <v>29</v>
      </c>
      <c r="Z6" s="321"/>
      <c r="AA6" s="378"/>
      <c r="AB6" s="289"/>
      <c r="AC6" s="289"/>
      <c r="AD6" s="289"/>
      <c r="AE6" s="311"/>
      <c r="AF6" s="311"/>
      <c r="AG6" s="449" t="s">
        <v>651</v>
      </c>
    </row>
    <row r="7" spans="1:33" ht="32" x14ac:dyDescent="0.2">
      <c r="A7" s="331">
        <v>3</v>
      </c>
      <c r="B7" s="311" t="s">
        <v>396</v>
      </c>
      <c r="C7" s="323" t="s">
        <v>513</v>
      </c>
      <c r="D7" s="437" t="s">
        <v>586</v>
      </c>
      <c r="E7" s="360" t="s">
        <v>367</v>
      </c>
      <c r="F7" s="289">
        <v>11</v>
      </c>
      <c r="G7" s="289">
        <v>77</v>
      </c>
      <c r="H7" s="289">
        <v>101</v>
      </c>
      <c r="I7" s="289">
        <v>71</v>
      </c>
      <c r="J7" s="289">
        <v>94</v>
      </c>
      <c r="K7" s="289">
        <v>6</v>
      </c>
      <c r="L7" s="289">
        <v>8</v>
      </c>
      <c r="M7" s="328">
        <f t="shared" si="0"/>
        <v>1056</v>
      </c>
      <c r="N7" s="289" t="s">
        <v>40</v>
      </c>
      <c r="O7" s="289" t="s">
        <v>299</v>
      </c>
      <c r="P7" s="289">
        <v>10000</v>
      </c>
      <c r="Q7" s="328">
        <f t="shared" si="1"/>
        <v>110000</v>
      </c>
      <c r="R7" s="289">
        <v>12000</v>
      </c>
      <c r="S7" s="328">
        <f t="shared" si="2"/>
        <v>132000</v>
      </c>
      <c r="T7" s="289">
        <v>15000</v>
      </c>
      <c r="U7" s="328">
        <f t="shared" si="3"/>
        <v>165000</v>
      </c>
      <c r="V7" s="363"/>
      <c r="W7" s="289"/>
      <c r="X7" s="439" t="s">
        <v>29</v>
      </c>
      <c r="Y7" s="439" t="s">
        <v>29</v>
      </c>
      <c r="Z7" s="289"/>
      <c r="AA7" s="289"/>
      <c r="AB7" s="409"/>
      <c r="AC7" s="289"/>
      <c r="AD7" s="289"/>
      <c r="AE7" s="311"/>
      <c r="AF7" s="311"/>
      <c r="AG7" s="311"/>
    </row>
    <row r="8" spans="1:33" ht="32" x14ac:dyDescent="0.2">
      <c r="A8" s="331">
        <v>4</v>
      </c>
      <c r="B8" s="311" t="s">
        <v>396</v>
      </c>
      <c r="C8" s="434" t="s">
        <v>584</v>
      </c>
      <c r="D8" s="316">
        <v>4</v>
      </c>
      <c r="E8" s="360" t="s">
        <v>368</v>
      </c>
      <c r="F8" s="289">
        <v>11</v>
      </c>
      <c r="G8" s="289">
        <v>77</v>
      </c>
      <c r="H8" s="289">
        <v>101</v>
      </c>
      <c r="I8" s="289">
        <v>71</v>
      </c>
      <c r="J8" s="289">
        <v>94</v>
      </c>
      <c r="K8" s="289">
        <v>6</v>
      </c>
      <c r="L8" s="289">
        <v>8</v>
      </c>
      <c r="M8" s="328">
        <f t="shared" si="0"/>
        <v>1056</v>
      </c>
      <c r="N8" s="289" t="s">
        <v>40</v>
      </c>
      <c r="O8" s="380" t="s">
        <v>299</v>
      </c>
      <c r="P8" s="289">
        <v>10000</v>
      </c>
      <c r="Q8" s="328">
        <f t="shared" si="1"/>
        <v>110000</v>
      </c>
      <c r="R8" s="289">
        <v>12000</v>
      </c>
      <c r="S8" s="328">
        <f t="shared" si="2"/>
        <v>132000</v>
      </c>
      <c r="T8" s="289">
        <v>15000</v>
      </c>
      <c r="U8" s="328">
        <f t="shared" si="3"/>
        <v>165000</v>
      </c>
      <c r="V8" s="363"/>
      <c r="W8" s="289"/>
      <c r="X8" s="439" t="s">
        <v>29</v>
      </c>
      <c r="Y8" s="439" t="s">
        <v>29</v>
      </c>
      <c r="Z8" s="289"/>
      <c r="AA8" s="289"/>
      <c r="AB8" s="409"/>
      <c r="AC8" s="289"/>
      <c r="AD8" s="289"/>
      <c r="AE8" s="311"/>
      <c r="AF8" s="311"/>
      <c r="AG8" s="323"/>
    </row>
    <row r="9" spans="1:33" ht="32" x14ac:dyDescent="0.2">
      <c r="A9" s="289">
        <v>5</v>
      </c>
      <c r="B9" s="311" t="s">
        <v>396</v>
      </c>
      <c r="C9" s="323" t="s">
        <v>515</v>
      </c>
      <c r="D9" s="325">
        <v>11</v>
      </c>
      <c r="E9" s="360" t="s">
        <v>369</v>
      </c>
      <c r="F9" s="289">
        <v>11</v>
      </c>
      <c r="G9" s="289">
        <v>77</v>
      </c>
      <c r="H9" s="289">
        <v>101</v>
      </c>
      <c r="I9" s="289">
        <v>71</v>
      </c>
      <c r="J9" s="289">
        <v>94</v>
      </c>
      <c r="K9" s="289">
        <v>6</v>
      </c>
      <c r="L9" s="289">
        <v>8</v>
      </c>
      <c r="M9" s="328">
        <f t="shared" si="0"/>
        <v>1056</v>
      </c>
      <c r="N9" s="289" t="s">
        <v>40</v>
      </c>
      <c r="O9" s="289" t="s">
        <v>299</v>
      </c>
      <c r="P9" s="289">
        <v>10000</v>
      </c>
      <c r="Q9" s="328">
        <f t="shared" si="1"/>
        <v>110000</v>
      </c>
      <c r="R9" s="289">
        <v>12000</v>
      </c>
      <c r="S9" s="328">
        <f t="shared" si="2"/>
        <v>132000</v>
      </c>
      <c r="T9" s="289">
        <v>15000</v>
      </c>
      <c r="U9" s="328">
        <f t="shared" si="3"/>
        <v>165000</v>
      </c>
      <c r="V9" s="377" t="s">
        <v>437</v>
      </c>
      <c r="W9" s="436" t="s">
        <v>585</v>
      </c>
      <c r="X9" s="432" t="s">
        <v>552</v>
      </c>
      <c r="Y9" s="382" t="s">
        <v>439</v>
      </c>
      <c r="Z9" s="321">
        <v>45200</v>
      </c>
      <c r="AA9" s="378" t="s">
        <v>554</v>
      </c>
      <c r="AB9" s="409"/>
      <c r="AC9" s="289"/>
      <c r="AD9" s="289"/>
      <c r="AE9" s="311"/>
      <c r="AF9" s="311"/>
      <c r="AG9" s="428" t="s">
        <v>572</v>
      </c>
    </row>
    <row r="10" spans="1:33" ht="32" x14ac:dyDescent="0.2">
      <c r="A10" s="331">
        <v>6</v>
      </c>
      <c r="B10" s="311" t="s">
        <v>396</v>
      </c>
      <c r="C10" s="323" t="s">
        <v>514</v>
      </c>
      <c r="D10" s="325">
        <v>8</v>
      </c>
      <c r="E10" s="360" t="s">
        <v>370</v>
      </c>
      <c r="F10" s="289">
        <v>8</v>
      </c>
      <c r="G10" s="289">
        <v>77</v>
      </c>
      <c r="H10" s="289">
        <v>101</v>
      </c>
      <c r="I10" s="289">
        <v>71</v>
      </c>
      <c r="J10" s="289">
        <v>94</v>
      </c>
      <c r="K10" s="289">
        <v>6</v>
      </c>
      <c r="L10" s="289">
        <v>8</v>
      </c>
      <c r="M10" s="328">
        <f>K10*L10*F10*2</f>
        <v>768</v>
      </c>
      <c r="N10" s="289" t="s">
        <v>40</v>
      </c>
      <c r="O10" s="289" t="s">
        <v>299</v>
      </c>
      <c r="P10" s="289">
        <v>10000</v>
      </c>
      <c r="Q10" s="328">
        <f t="shared" si="1"/>
        <v>80000</v>
      </c>
      <c r="R10" s="289">
        <v>12000</v>
      </c>
      <c r="S10" s="328">
        <f t="shared" si="2"/>
        <v>96000</v>
      </c>
      <c r="T10" s="289">
        <v>15000</v>
      </c>
      <c r="U10" s="328">
        <f t="shared" si="3"/>
        <v>120000</v>
      </c>
      <c r="V10" s="363"/>
      <c r="W10" s="289"/>
      <c r="X10" s="322" t="s">
        <v>571</v>
      </c>
      <c r="Y10" s="364" t="s">
        <v>405</v>
      </c>
      <c r="Z10" s="321"/>
      <c r="AA10" s="378"/>
      <c r="AB10" s="381" t="s">
        <v>582</v>
      </c>
      <c r="AC10" s="289" t="s">
        <v>405</v>
      </c>
      <c r="AD10" s="289" t="s">
        <v>580</v>
      </c>
      <c r="AE10" s="311" t="s">
        <v>581</v>
      </c>
      <c r="AF10" s="311"/>
      <c r="AG10" s="449" t="s">
        <v>651</v>
      </c>
    </row>
    <row r="11" spans="1:33" ht="32" x14ac:dyDescent="0.2">
      <c r="A11" s="331">
        <v>7</v>
      </c>
      <c r="B11" s="311" t="s">
        <v>396</v>
      </c>
      <c r="C11" s="323" t="s">
        <v>516</v>
      </c>
      <c r="D11" s="325">
        <v>6</v>
      </c>
      <c r="E11" s="360" t="s">
        <v>371</v>
      </c>
      <c r="F11" s="289">
        <v>6</v>
      </c>
      <c r="G11" s="289">
        <v>77</v>
      </c>
      <c r="H11" s="289">
        <v>101</v>
      </c>
      <c r="I11" s="289">
        <v>71</v>
      </c>
      <c r="J11" s="289">
        <v>94</v>
      </c>
      <c r="K11" s="289">
        <v>6</v>
      </c>
      <c r="L11" s="289">
        <v>8</v>
      </c>
      <c r="M11" s="328">
        <f t="shared" si="0"/>
        <v>576</v>
      </c>
      <c r="N11" s="289" t="s">
        <v>40</v>
      </c>
      <c r="O11" s="289" t="s">
        <v>299</v>
      </c>
      <c r="P11" s="289">
        <v>12000</v>
      </c>
      <c r="Q11" s="328">
        <f t="shared" si="1"/>
        <v>72000</v>
      </c>
      <c r="R11" s="289">
        <v>15000</v>
      </c>
      <c r="S11" s="328">
        <f t="shared" si="2"/>
        <v>90000</v>
      </c>
      <c r="T11" s="289">
        <v>18000</v>
      </c>
      <c r="U11" s="328">
        <f>T11*F11</f>
        <v>108000</v>
      </c>
      <c r="V11" s="451" t="s">
        <v>550</v>
      </c>
      <c r="W11" s="452" t="s">
        <v>553</v>
      </c>
      <c r="X11" s="396" t="s">
        <v>440</v>
      </c>
      <c r="Y11" s="379" t="s">
        <v>440</v>
      </c>
      <c r="Z11" s="321">
        <v>45139</v>
      </c>
      <c r="AA11" s="378" t="s">
        <v>554</v>
      </c>
      <c r="AB11" s="289"/>
      <c r="AC11" s="289"/>
      <c r="AD11" s="289"/>
      <c r="AE11" s="311"/>
      <c r="AF11" s="311"/>
      <c r="AG11" s="323"/>
    </row>
    <row r="12" spans="1:33" ht="16" x14ac:dyDescent="0.2">
      <c r="A12" s="289">
        <v>8</v>
      </c>
      <c r="B12" s="311" t="s">
        <v>396</v>
      </c>
      <c r="C12" s="323" t="s">
        <v>517</v>
      </c>
      <c r="D12" s="316">
        <v>17</v>
      </c>
      <c r="E12" s="360" t="s">
        <v>372</v>
      </c>
      <c r="F12" s="289">
        <v>17</v>
      </c>
      <c r="G12" s="289">
        <v>77</v>
      </c>
      <c r="H12" s="289">
        <v>101</v>
      </c>
      <c r="I12" s="289">
        <v>71</v>
      </c>
      <c r="J12" s="289">
        <v>94</v>
      </c>
      <c r="K12" s="289">
        <v>6</v>
      </c>
      <c r="L12" s="289">
        <v>8</v>
      </c>
      <c r="M12" s="328">
        <f t="shared" si="0"/>
        <v>1632</v>
      </c>
      <c r="N12" s="289" t="s">
        <v>40</v>
      </c>
      <c r="O12" s="289" t="s">
        <v>299</v>
      </c>
      <c r="P12" s="289">
        <v>12000</v>
      </c>
      <c r="Q12" s="328">
        <f t="shared" si="1"/>
        <v>204000</v>
      </c>
      <c r="R12" s="289">
        <v>15000</v>
      </c>
      <c r="S12" s="328">
        <f t="shared" si="2"/>
        <v>255000</v>
      </c>
      <c r="T12" s="289">
        <v>18000</v>
      </c>
      <c r="U12" s="328">
        <f t="shared" si="3"/>
        <v>306000</v>
      </c>
      <c r="V12" s="433" t="s">
        <v>579</v>
      </c>
      <c r="W12" s="433" t="s">
        <v>583</v>
      </c>
      <c r="X12" s="322" t="s">
        <v>558</v>
      </c>
      <c r="Y12" s="364" t="s">
        <v>405</v>
      </c>
      <c r="Z12" s="410">
        <v>45200</v>
      </c>
      <c r="AA12" s="289" t="s">
        <v>251</v>
      </c>
      <c r="AB12" s="332"/>
      <c r="AC12" s="332"/>
      <c r="AD12" s="332"/>
      <c r="AE12" s="311"/>
      <c r="AF12" s="311"/>
      <c r="AG12" s="323"/>
    </row>
    <row r="13" spans="1:33" ht="16" x14ac:dyDescent="0.2">
      <c r="A13" s="331">
        <v>9</v>
      </c>
      <c r="B13" s="311" t="s">
        <v>396</v>
      </c>
      <c r="C13" s="366" t="s">
        <v>518</v>
      </c>
      <c r="D13" s="316"/>
      <c r="E13" s="360" t="s">
        <v>373</v>
      </c>
      <c r="F13" s="289">
        <v>11</v>
      </c>
      <c r="G13" s="289">
        <v>77</v>
      </c>
      <c r="H13" s="289">
        <v>101</v>
      </c>
      <c r="I13" s="289">
        <v>71</v>
      </c>
      <c r="J13" s="289">
        <v>94</v>
      </c>
      <c r="K13" s="289">
        <v>6</v>
      </c>
      <c r="L13" s="289">
        <v>8</v>
      </c>
      <c r="M13" s="328">
        <f t="shared" si="0"/>
        <v>1056</v>
      </c>
      <c r="N13" s="289" t="s">
        <v>40</v>
      </c>
      <c r="O13" s="289" t="s">
        <v>299</v>
      </c>
      <c r="P13" s="289">
        <v>8000</v>
      </c>
      <c r="Q13" s="328">
        <f t="shared" si="1"/>
        <v>88000</v>
      </c>
      <c r="R13" s="289">
        <v>10000</v>
      </c>
      <c r="S13" s="328">
        <f t="shared" si="2"/>
        <v>110000</v>
      </c>
      <c r="T13" s="289">
        <v>12000</v>
      </c>
      <c r="U13" s="328">
        <f t="shared" si="3"/>
        <v>132000</v>
      </c>
      <c r="V13" s="435"/>
      <c r="W13" s="433"/>
      <c r="X13" s="439" t="s">
        <v>29</v>
      </c>
      <c r="Y13" s="439" t="s">
        <v>29</v>
      </c>
      <c r="Z13" s="410"/>
      <c r="AA13" s="289"/>
      <c r="AB13" s="332"/>
      <c r="AC13" s="332"/>
      <c r="AD13" s="332"/>
      <c r="AE13" s="311"/>
      <c r="AF13" s="311"/>
      <c r="AG13" s="323"/>
    </row>
    <row r="14" spans="1:33" ht="16" x14ac:dyDescent="0.2">
      <c r="A14" s="289">
        <v>10</v>
      </c>
      <c r="B14" s="289" t="s">
        <v>396</v>
      </c>
      <c r="C14" s="366" t="s">
        <v>519</v>
      </c>
      <c r="D14" s="316"/>
      <c r="E14" s="360" t="s">
        <v>374</v>
      </c>
      <c r="F14" s="365">
        <v>3</v>
      </c>
      <c r="G14" s="289">
        <v>77</v>
      </c>
      <c r="H14" s="289">
        <v>101</v>
      </c>
      <c r="I14" s="289">
        <v>71</v>
      </c>
      <c r="J14" s="289">
        <v>94</v>
      </c>
      <c r="K14" s="289">
        <v>6</v>
      </c>
      <c r="L14" s="289">
        <v>8</v>
      </c>
      <c r="M14" s="328">
        <f t="shared" si="0"/>
        <v>288</v>
      </c>
      <c r="N14" s="289" t="s">
        <v>40</v>
      </c>
      <c r="O14" s="289" t="s">
        <v>299</v>
      </c>
      <c r="P14" s="289">
        <v>8000</v>
      </c>
      <c r="Q14" s="328">
        <f t="shared" si="1"/>
        <v>24000</v>
      </c>
      <c r="R14" s="289">
        <v>10000</v>
      </c>
      <c r="S14" s="328">
        <f t="shared" si="2"/>
        <v>30000</v>
      </c>
      <c r="T14" s="289">
        <v>12000</v>
      </c>
      <c r="U14" s="328">
        <f t="shared" si="3"/>
        <v>36000</v>
      </c>
      <c r="V14" s="435"/>
      <c r="W14" s="433"/>
      <c r="X14" s="439" t="s">
        <v>29</v>
      </c>
      <c r="Y14" s="439" t="s">
        <v>29</v>
      </c>
      <c r="Z14" s="410"/>
      <c r="AA14" s="289"/>
      <c r="AB14" s="332"/>
      <c r="AC14" s="332"/>
      <c r="AD14" s="332"/>
      <c r="AE14" s="311"/>
      <c r="AF14" s="311"/>
      <c r="AG14" s="323"/>
    </row>
    <row r="15" spans="1:33" ht="16" x14ac:dyDescent="0.2">
      <c r="A15" s="331">
        <v>11</v>
      </c>
      <c r="B15" s="311" t="s">
        <v>396</v>
      </c>
      <c r="C15" s="366" t="s">
        <v>520</v>
      </c>
      <c r="D15" s="316"/>
      <c r="E15" s="360" t="s">
        <v>375</v>
      </c>
      <c r="F15" s="289">
        <v>13</v>
      </c>
      <c r="G15" s="289">
        <v>77</v>
      </c>
      <c r="H15" s="289">
        <v>101</v>
      </c>
      <c r="I15" s="289">
        <v>71</v>
      </c>
      <c r="J15" s="289">
        <v>94</v>
      </c>
      <c r="K15" s="289">
        <v>6</v>
      </c>
      <c r="L15" s="289">
        <v>8</v>
      </c>
      <c r="M15" s="328">
        <f t="shared" si="0"/>
        <v>1248</v>
      </c>
      <c r="N15" s="289" t="s">
        <v>40</v>
      </c>
      <c r="O15" s="289" t="s">
        <v>299</v>
      </c>
      <c r="P15" s="289">
        <v>8000</v>
      </c>
      <c r="Q15" s="328">
        <f t="shared" si="1"/>
        <v>104000</v>
      </c>
      <c r="R15" s="289">
        <v>10000</v>
      </c>
      <c r="S15" s="328">
        <f t="shared" si="2"/>
        <v>130000</v>
      </c>
      <c r="T15" s="289">
        <v>12000</v>
      </c>
      <c r="U15" s="328">
        <f t="shared" si="3"/>
        <v>156000</v>
      </c>
      <c r="V15" s="435"/>
      <c r="W15" s="433"/>
      <c r="X15" s="439" t="s">
        <v>29</v>
      </c>
      <c r="Y15" s="439" t="s">
        <v>29</v>
      </c>
      <c r="Z15" s="410"/>
      <c r="AA15" s="289"/>
      <c r="AB15" s="332"/>
      <c r="AC15" s="332"/>
      <c r="AD15" s="332"/>
      <c r="AE15" s="311"/>
      <c r="AF15" s="311"/>
      <c r="AG15" s="323"/>
    </row>
    <row r="16" spans="1:33" x14ac:dyDescent="0.2">
      <c r="A16" s="289"/>
      <c r="B16" s="311"/>
      <c r="C16" s="323"/>
      <c r="D16" s="316">
        <f>SUM(D5:D12)</f>
        <v>58</v>
      </c>
      <c r="E16" s="360"/>
      <c r="F16" s="289">
        <f>SUM(F5:F15)</f>
        <v>103</v>
      </c>
      <c r="G16" s="289"/>
      <c r="H16" s="289"/>
      <c r="I16" s="289"/>
      <c r="J16" s="289"/>
      <c r="K16" s="289"/>
      <c r="L16" s="289"/>
      <c r="M16" s="328"/>
      <c r="N16" s="289"/>
      <c r="O16" s="289"/>
      <c r="P16" s="289"/>
      <c r="Q16" s="328"/>
      <c r="R16" s="289"/>
      <c r="S16" s="328"/>
      <c r="T16" s="289"/>
      <c r="U16" s="328"/>
      <c r="V16" s="363"/>
      <c r="W16" s="289"/>
      <c r="X16" s="322"/>
      <c r="Y16" s="364"/>
      <c r="Z16" s="321"/>
      <c r="AA16" s="321"/>
      <c r="AB16" s="409"/>
      <c r="AC16" s="289"/>
      <c r="AD16" s="289"/>
      <c r="AE16" s="311"/>
      <c r="AF16" s="311"/>
      <c r="AG16" s="323"/>
    </row>
    <row r="17" spans="1:33" ht="54" x14ac:dyDescent="0.2">
      <c r="A17" s="291" t="s">
        <v>107</v>
      </c>
      <c r="B17" s="314" t="s">
        <v>395</v>
      </c>
      <c r="C17" s="315" t="s">
        <v>359</v>
      </c>
      <c r="D17" s="315" t="s">
        <v>417</v>
      </c>
      <c r="E17" s="359" t="s">
        <v>362</v>
      </c>
      <c r="F17" s="291" t="s">
        <v>363</v>
      </c>
      <c r="G17" s="756" t="s">
        <v>418</v>
      </c>
      <c r="H17" s="756"/>
      <c r="I17" s="756" t="s">
        <v>419</v>
      </c>
      <c r="J17" s="756"/>
      <c r="K17" s="291" t="s">
        <v>4</v>
      </c>
      <c r="L17" s="291" t="s">
        <v>5</v>
      </c>
      <c r="M17" s="291" t="s">
        <v>364</v>
      </c>
      <c r="N17" s="291" t="s">
        <v>360</v>
      </c>
      <c r="O17" s="291" t="s">
        <v>266</v>
      </c>
      <c r="P17" s="291" t="s">
        <v>416</v>
      </c>
      <c r="Q17" s="291" t="s">
        <v>361</v>
      </c>
      <c r="R17" s="291" t="s">
        <v>416</v>
      </c>
      <c r="S17" s="291" t="s">
        <v>11</v>
      </c>
      <c r="T17" s="291" t="s">
        <v>416</v>
      </c>
      <c r="U17" s="291" t="s">
        <v>270</v>
      </c>
      <c r="V17" s="353" t="s">
        <v>13</v>
      </c>
      <c r="W17" s="353" t="s">
        <v>14</v>
      </c>
      <c r="X17" s="354" t="s">
        <v>15</v>
      </c>
      <c r="Y17" s="354" t="s">
        <v>16</v>
      </c>
      <c r="Z17" s="354" t="s">
        <v>17</v>
      </c>
      <c r="AA17" s="354" t="s">
        <v>18</v>
      </c>
      <c r="AB17" s="354" t="s">
        <v>79</v>
      </c>
      <c r="AC17" s="354" t="s">
        <v>18</v>
      </c>
      <c r="AD17" s="354" t="s">
        <v>16</v>
      </c>
      <c r="AE17" s="355" t="s">
        <v>22</v>
      </c>
      <c r="AF17" s="355" t="s">
        <v>23</v>
      </c>
      <c r="AG17" s="355" t="s">
        <v>438</v>
      </c>
    </row>
    <row r="18" spans="1:33" ht="17" x14ac:dyDescent="0.2">
      <c r="A18" s="332">
        <v>1</v>
      </c>
      <c r="B18" s="323" t="s">
        <v>402</v>
      </c>
      <c r="C18" s="429" t="s">
        <v>588</v>
      </c>
      <c r="D18" s="442"/>
      <c r="E18" s="443" t="s">
        <v>607</v>
      </c>
      <c r="F18" s="444">
        <v>9</v>
      </c>
      <c r="G18" s="441"/>
      <c r="H18" s="441"/>
      <c r="I18" s="441"/>
      <c r="J18" s="441"/>
      <c r="K18" s="332">
        <v>6</v>
      </c>
      <c r="L18" s="332">
        <v>8</v>
      </c>
      <c r="M18" s="441">
        <f>F18*K18*L18*2</f>
        <v>864</v>
      </c>
      <c r="N18" s="289" t="s">
        <v>40</v>
      </c>
      <c r="O18" s="289" t="s">
        <v>299</v>
      </c>
      <c r="P18" s="441">
        <v>11000</v>
      </c>
      <c r="Q18" s="441">
        <f>P18*F18</f>
        <v>99000</v>
      </c>
      <c r="R18" s="441">
        <v>13500</v>
      </c>
      <c r="S18" s="441">
        <f>R18*F18</f>
        <v>121500</v>
      </c>
      <c r="T18" s="441">
        <v>15000</v>
      </c>
      <c r="U18" s="441">
        <f>T18*F18</f>
        <v>135000</v>
      </c>
      <c r="V18" s="445"/>
      <c r="W18" s="445"/>
      <c r="X18" s="446"/>
      <c r="Y18" s="446"/>
      <c r="Z18" s="446"/>
      <c r="AA18" s="446"/>
      <c r="AB18" s="446"/>
      <c r="AC18" s="446"/>
      <c r="AD18" s="446"/>
      <c r="AE18" s="318"/>
      <c r="AF18" s="318"/>
      <c r="AG18" s="318"/>
    </row>
    <row r="19" spans="1:33" ht="17" x14ac:dyDescent="0.2">
      <c r="A19" s="332">
        <v>2</v>
      </c>
      <c r="B19" s="323" t="s">
        <v>402</v>
      </c>
      <c r="C19" s="429" t="s">
        <v>589</v>
      </c>
      <c r="D19" s="442"/>
      <c r="E19" s="443" t="s">
        <v>608</v>
      </c>
      <c r="F19" s="444">
        <v>14</v>
      </c>
      <c r="G19" s="441"/>
      <c r="H19" s="441"/>
      <c r="I19" s="441"/>
      <c r="J19" s="441"/>
      <c r="K19" s="332">
        <v>6</v>
      </c>
      <c r="L19" s="332">
        <v>8</v>
      </c>
      <c r="M19" s="441">
        <f t="shared" ref="M19:M36" si="4">F19*K19*L19*2</f>
        <v>1344</v>
      </c>
      <c r="N19" s="289" t="s">
        <v>40</v>
      </c>
      <c r="O19" s="289" t="s">
        <v>299</v>
      </c>
      <c r="P19" s="441">
        <v>11000</v>
      </c>
      <c r="Q19" s="441">
        <f t="shared" ref="Q19:Q36" si="5">P19*F19</f>
        <v>154000</v>
      </c>
      <c r="R19" s="441">
        <v>13500</v>
      </c>
      <c r="S19" s="441">
        <f t="shared" ref="S19:S36" si="6">R19*F19</f>
        <v>189000</v>
      </c>
      <c r="T19" s="441">
        <v>15000</v>
      </c>
      <c r="U19" s="441">
        <f t="shared" ref="U19:U36" si="7">T19*F19</f>
        <v>210000</v>
      </c>
      <c r="V19" s="445"/>
      <c r="W19" s="445"/>
      <c r="X19" s="446"/>
      <c r="Y19" s="446"/>
      <c r="Z19" s="446"/>
      <c r="AA19" s="446"/>
      <c r="AB19" s="446"/>
      <c r="AC19" s="446"/>
      <c r="AD19" s="446"/>
      <c r="AE19" s="318"/>
      <c r="AF19" s="318"/>
      <c r="AG19" s="318"/>
    </row>
    <row r="20" spans="1:33" ht="17" x14ac:dyDescent="0.2">
      <c r="A20" s="332">
        <v>3</v>
      </c>
      <c r="B20" s="323" t="s">
        <v>402</v>
      </c>
      <c r="C20" s="429" t="s">
        <v>590</v>
      </c>
      <c r="D20" s="442"/>
      <c r="E20" s="443" t="s">
        <v>609</v>
      </c>
      <c r="F20" s="444">
        <v>13</v>
      </c>
      <c r="G20" s="441"/>
      <c r="H20" s="441"/>
      <c r="I20" s="441"/>
      <c r="J20" s="441"/>
      <c r="K20" s="332">
        <v>6</v>
      </c>
      <c r="L20" s="332">
        <v>8</v>
      </c>
      <c r="M20" s="441">
        <f t="shared" si="4"/>
        <v>1248</v>
      </c>
      <c r="N20" s="289" t="s">
        <v>40</v>
      </c>
      <c r="O20" s="289" t="s">
        <v>299</v>
      </c>
      <c r="P20" s="441">
        <v>11000</v>
      </c>
      <c r="Q20" s="441">
        <f t="shared" si="5"/>
        <v>143000</v>
      </c>
      <c r="R20" s="441">
        <v>13500</v>
      </c>
      <c r="S20" s="441">
        <f t="shared" si="6"/>
        <v>175500</v>
      </c>
      <c r="T20" s="441">
        <v>15000</v>
      </c>
      <c r="U20" s="441">
        <f t="shared" si="7"/>
        <v>195000</v>
      </c>
      <c r="V20" s="445"/>
      <c r="W20" s="445"/>
      <c r="X20" s="446"/>
      <c r="Y20" s="446"/>
      <c r="Z20" s="446"/>
      <c r="AA20" s="446"/>
      <c r="AB20" s="446"/>
      <c r="AC20" s="446"/>
      <c r="AD20" s="446"/>
      <c r="AE20" s="318"/>
      <c r="AF20" s="318"/>
      <c r="AG20" s="318"/>
    </row>
    <row r="21" spans="1:33" ht="17" x14ac:dyDescent="0.2">
      <c r="A21" s="332">
        <v>4</v>
      </c>
      <c r="B21" s="323" t="s">
        <v>402</v>
      </c>
      <c r="C21" s="429" t="s">
        <v>591</v>
      </c>
      <c r="D21" s="442"/>
      <c r="E21" s="443" t="s">
        <v>610</v>
      </c>
      <c r="F21" s="444">
        <v>14</v>
      </c>
      <c r="G21" s="441"/>
      <c r="H21" s="441"/>
      <c r="I21" s="441"/>
      <c r="J21" s="441"/>
      <c r="K21" s="332">
        <v>6</v>
      </c>
      <c r="L21" s="332">
        <v>8</v>
      </c>
      <c r="M21" s="441">
        <f t="shared" si="4"/>
        <v>1344</v>
      </c>
      <c r="N21" s="289" t="s">
        <v>40</v>
      </c>
      <c r="O21" s="289" t="s">
        <v>299</v>
      </c>
      <c r="P21" s="441">
        <v>11000</v>
      </c>
      <c r="Q21" s="441">
        <f t="shared" si="5"/>
        <v>154000</v>
      </c>
      <c r="R21" s="441">
        <v>13500</v>
      </c>
      <c r="S21" s="441">
        <f t="shared" si="6"/>
        <v>189000</v>
      </c>
      <c r="T21" s="441">
        <v>15000</v>
      </c>
      <c r="U21" s="441">
        <f t="shared" si="7"/>
        <v>210000</v>
      </c>
      <c r="V21" s="445"/>
      <c r="W21" s="445"/>
      <c r="X21" s="446"/>
      <c r="Y21" s="446"/>
      <c r="Z21" s="446"/>
      <c r="AA21" s="446"/>
      <c r="AB21" s="446"/>
      <c r="AC21" s="446"/>
      <c r="AD21" s="446"/>
      <c r="AE21" s="318"/>
      <c r="AF21" s="318"/>
      <c r="AG21" s="318"/>
    </row>
    <row r="22" spans="1:33" ht="17" x14ac:dyDescent="0.2">
      <c r="A22" s="332">
        <v>5</v>
      </c>
      <c r="B22" s="323" t="s">
        <v>402</v>
      </c>
      <c r="C22" s="429" t="s">
        <v>592</v>
      </c>
      <c r="D22" s="442"/>
      <c r="E22" s="443" t="s">
        <v>611</v>
      </c>
      <c r="F22" s="444">
        <v>9</v>
      </c>
      <c r="G22" s="441"/>
      <c r="H22" s="441"/>
      <c r="I22" s="441"/>
      <c r="J22" s="441"/>
      <c r="K22" s="332">
        <v>6</v>
      </c>
      <c r="L22" s="332">
        <v>8</v>
      </c>
      <c r="M22" s="441">
        <f t="shared" si="4"/>
        <v>864</v>
      </c>
      <c r="N22" s="289" t="s">
        <v>40</v>
      </c>
      <c r="O22" s="289" t="s">
        <v>299</v>
      </c>
      <c r="P22" s="441">
        <v>11000</v>
      </c>
      <c r="Q22" s="441">
        <f t="shared" si="5"/>
        <v>99000</v>
      </c>
      <c r="R22" s="441">
        <v>13500</v>
      </c>
      <c r="S22" s="441">
        <f t="shared" si="6"/>
        <v>121500</v>
      </c>
      <c r="T22" s="441">
        <v>15000</v>
      </c>
      <c r="U22" s="441">
        <f t="shared" si="7"/>
        <v>135000</v>
      </c>
      <c r="V22" s="445"/>
      <c r="W22" s="445"/>
      <c r="X22" s="446"/>
      <c r="Y22" s="446"/>
      <c r="Z22" s="446"/>
      <c r="AA22" s="446"/>
      <c r="AB22" s="446"/>
      <c r="AC22" s="446"/>
      <c r="AD22" s="446"/>
      <c r="AE22" s="318"/>
      <c r="AF22" s="318"/>
      <c r="AG22" s="318"/>
    </row>
    <row r="23" spans="1:33" ht="18" x14ac:dyDescent="0.2">
      <c r="A23" s="332">
        <v>6</v>
      </c>
      <c r="B23" s="323" t="s">
        <v>402</v>
      </c>
      <c r="C23" s="429" t="s">
        <v>593</v>
      </c>
      <c r="D23" s="442"/>
      <c r="E23" s="443" t="s">
        <v>612</v>
      </c>
      <c r="F23" s="444">
        <v>5</v>
      </c>
      <c r="G23" s="441"/>
      <c r="H23" s="441"/>
      <c r="I23" s="441"/>
      <c r="J23" s="441"/>
      <c r="K23" s="332">
        <v>6</v>
      </c>
      <c r="L23" s="332">
        <v>8</v>
      </c>
      <c r="M23" s="441">
        <f t="shared" si="4"/>
        <v>480</v>
      </c>
      <c r="N23" s="289" t="s">
        <v>40</v>
      </c>
      <c r="O23" s="289" t="s">
        <v>299</v>
      </c>
      <c r="P23" s="441">
        <v>11000</v>
      </c>
      <c r="Q23" s="441">
        <f t="shared" si="5"/>
        <v>55000</v>
      </c>
      <c r="R23" s="441">
        <v>13500</v>
      </c>
      <c r="S23" s="441">
        <f t="shared" si="6"/>
        <v>67500</v>
      </c>
      <c r="T23" s="441">
        <v>15000</v>
      </c>
      <c r="U23" s="441">
        <f t="shared" si="7"/>
        <v>75000</v>
      </c>
      <c r="V23" s="445"/>
      <c r="W23" s="445"/>
      <c r="X23" s="446" t="s">
        <v>571</v>
      </c>
      <c r="Y23" s="446"/>
      <c r="Z23" s="446"/>
      <c r="AA23" s="446"/>
      <c r="AB23" s="450" t="s">
        <v>652</v>
      </c>
      <c r="AC23" s="446" t="s">
        <v>251</v>
      </c>
      <c r="AD23" s="446"/>
      <c r="AE23" s="318"/>
      <c r="AF23" s="318"/>
      <c r="AG23" s="318"/>
    </row>
    <row r="24" spans="1:33" ht="18" x14ac:dyDescent="0.2">
      <c r="A24" s="332">
        <v>7</v>
      </c>
      <c r="B24" s="323" t="s">
        <v>402</v>
      </c>
      <c r="C24" s="429" t="s">
        <v>594</v>
      </c>
      <c r="D24" s="442"/>
      <c r="E24" s="443" t="s">
        <v>613</v>
      </c>
      <c r="F24" s="444">
        <v>7</v>
      </c>
      <c r="G24" s="441"/>
      <c r="H24" s="441"/>
      <c r="I24" s="441"/>
      <c r="J24" s="441"/>
      <c r="K24" s="332">
        <v>6</v>
      </c>
      <c r="L24" s="332">
        <v>8</v>
      </c>
      <c r="M24" s="441">
        <f t="shared" si="4"/>
        <v>672</v>
      </c>
      <c r="N24" s="289" t="s">
        <v>40</v>
      </c>
      <c r="O24" s="289" t="s">
        <v>299</v>
      </c>
      <c r="P24" s="441">
        <v>11000</v>
      </c>
      <c r="Q24" s="441">
        <f t="shared" si="5"/>
        <v>77000</v>
      </c>
      <c r="R24" s="441">
        <v>13500</v>
      </c>
      <c r="S24" s="441">
        <f t="shared" si="6"/>
        <v>94500</v>
      </c>
      <c r="T24" s="441">
        <v>15000</v>
      </c>
      <c r="U24" s="441">
        <f t="shared" si="7"/>
        <v>105000</v>
      </c>
      <c r="V24" s="445"/>
      <c r="W24" s="445"/>
      <c r="X24" s="446" t="s">
        <v>571</v>
      </c>
      <c r="Y24" s="446"/>
      <c r="Z24" s="446"/>
      <c r="AA24" s="446"/>
      <c r="AB24" s="450" t="s">
        <v>652</v>
      </c>
      <c r="AC24" s="446" t="s">
        <v>251</v>
      </c>
      <c r="AD24" s="446"/>
      <c r="AE24" s="318"/>
      <c r="AF24" s="318"/>
      <c r="AG24" s="318"/>
    </row>
    <row r="25" spans="1:33" ht="18" x14ac:dyDescent="0.2">
      <c r="A25" s="332">
        <v>8</v>
      </c>
      <c r="B25" s="323" t="s">
        <v>402</v>
      </c>
      <c r="C25" s="429" t="s">
        <v>595</v>
      </c>
      <c r="D25" s="442"/>
      <c r="E25" s="443" t="s">
        <v>614</v>
      </c>
      <c r="F25" s="444">
        <v>5</v>
      </c>
      <c r="G25" s="441"/>
      <c r="H25" s="441"/>
      <c r="I25" s="441"/>
      <c r="J25" s="441"/>
      <c r="K25" s="332">
        <v>6</v>
      </c>
      <c r="L25" s="332">
        <v>8</v>
      </c>
      <c r="M25" s="441">
        <f t="shared" si="4"/>
        <v>480</v>
      </c>
      <c r="N25" s="289" t="s">
        <v>40</v>
      </c>
      <c r="O25" s="289" t="s">
        <v>299</v>
      </c>
      <c r="P25" s="441">
        <v>11000</v>
      </c>
      <c r="Q25" s="441">
        <f t="shared" si="5"/>
        <v>55000</v>
      </c>
      <c r="R25" s="441">
        <v>13500</v>
      </c>
      <c r="S25" s="441">
        <f t="shared" si="6"/>
        <v>67500</v>
      </c>
      <c r="T25" s="441">
        <v>15000</v>
      </c>
      <c r="U25" s="441">
        <f t="shared" si="7"/>
        <v>75000</v>
      </c>
      <c r="V25" s="445"/>
      <c r="W25" s="445"/>
      <c r="X25" s="446" t="s">
        <v>571</v>
      </c>
      <c r="Y25" s="446"/>
      <c r="Z25" s="446"/>
      <c r="AA25" s="446"/>
      <c r="AB25" s="450" t="s">
        <v>652</v>
      </c>
      <c r="AC25" s="446" t="s">
        <v>251</v>
      </c>
      <c r="AD25" s="446"/>
      <c r="AE25" s="318"/>
      <c r="AF25" s="318"/>
      <c r="AG25" s="318"/>
    </row>
    <row r="26" spans="1:33" ht="18" x14ac:dyDescent="0.2">
      <c r="A26" s="332">
        <v>9</v>
      </c>
      <c r="B26" s="323" t="s">
        <v>402</v>
      </c>
      <c r="C26" s="429" t="s">
        <v>596</v>
      </c>
      <c r="D26" s="442"/>
      <c r="E26" s="443" t="s">
        <v>615</v>
      </c>
      <c r="F26" s="444">
        <v>9</v>
      </c>
      <c r="G26" s="441"/>
      <c r="H26" s="441"/>
      <c r="I26" s="441"/>
      <c r="J26" s="441"/>
      <c r="K26" s="332">
        <v>6</v>
      </c>
      <c r="L26" s="332">
        <v>8</v>
      </c>
      <c r="M26" s="441">
        <f t="shared" si="4"/>
        <v>864</v>
      </c>
      <c r="N26" s="289" t="s">
        <v>40</v>
      </c>
      <c r="O26" s="289" t="s">
        <v>299</v>
      </c>
      <c r="P26" s="441">
        <v>12000</v>
      </c>
      <c r="Q26" s="441">
        <f t="shared" si="5"/>
        <v>108000</v>
      </c>
      <c r="R26" s="441">
        <v>15000</v>
      </c>
      <c r="S26" s="441">
        <f t="shared" si="6"/>
        <v>135000</v>
      </c>
      <c r="T26" s="441">
        <v>18000</v>
      </c>
      <c r="U26" s="441">
        <f t="shared" si="7"/>
        <v>162000</v>
      </c>
      <c r="V26" s="445"/>
      <c r="W26" s="445"/>
      <c r="X26" s="446" t="s">
        <v>571</v>
      </c>
      <c r="Y26" s="446"/>
      <c r="Z26" s="446"/>
      <c r="AA26" s="446"/>
      <c r="AB26" s="450" t="s">
        <v>652</v>
      </c>
      <c r="AC26" s="446" t="s">
        <v>251</v>
      </c>
      <c r="AD26" s="446"/>
      <c r="AE26" s="318"/>
      <c r="AF26" s="318"/>
      <c r="AG26" s="318"/>
    </row>
    <row r="27" spans="1:33" ht="18" x14ac:dyDescent="0.2">
      <c r="A27" s="332">
        <v>10</v>
      </c>
      <c r="B27" s="323" t="s">
        <v>402</v>
      </c>
      <c r="C27" s="429" t="s">
        <v>597</v>
      </c>
      <c r="D27" s="442"/>
      <c r="E27" s="443" t="s">
        <v>616</v>
      </c>
      <c r="F27" s="444">
        <v>7</v>
      </c>
      <c r="G27" s="441"/>
      <c r="H27" s="441"/>
      <c r="I27" s="441"/>
      <c r="J27" s="441"/>
      <c r="K27" s="332">
        <v>6</v>
      </c>
      <c r="L27" s="332">
        <v>8</v>
      </c>
      <c r="M27" s="441">
        <f t="shared" si="4"/>
        <v>672</v>
      </c>
      <c r="N27" s="289" t="s">
        <v>40</v>
      </c>
      <c r="O27" s="289" t="s">
        <v>299</v>
      </c>
      <c r="P27" s="441">
        <v>12000</v>
      </c>
      <c r="Q27" s="441">
        <f t="shared" si="5"/>
        <v>84000</v>
      </c>
      <c r="R27" s="441">
        <v>15000</v>
      </c>
      <c r="S27" s="441">
        <f t="shared" si="6"/>
        <v>105000</v>
      </c>
      <c r="T27" s="441">
        <v>18000</v>
      </c>
      <c r="U27" s="441">
        <f t="shared" si="7"/>
        <v>126000</v>
      </c>
      <c r="V27" s="445"/>
      <c r="W27" s="445"/>
      <c r="X27" s="446" t="s">
        <v>571</v>
      </c>
      <c r="Y27" s="446"/>
      <c r="Z27" s="446"/>
      <c r="AA27" s="446"/>
      <c r="AB27" s="450" t="s">
        <v>652</v>
      </c>
      <c r="AC27" s="446" t="s">
        <v>251</v>
      </c>
      <c r="AD27" s="446"/>
      <c r="AE27" s="318"/>
      <c r="AF27" s="318"/>
      <c r="AG27" s="318"/>
    </row>
    <row r="28" spans="1:33" ht="17" x14ac:dyDescent="0.2">
      <c r="A28" s="332">
        <v>11</v>
      </c>
      <c r="B28" s="323" t="s">
        <v>402</v>
      </c>
      <c r="C28" s="429" t="s">
        <v>598</v>
      </c>
      <c r="D28" s="442"/>
      <c r="E28" s="443" t="s">
        <v>617</v>
      </c>
      <c r="F28" s="444">
        <v>5</v>
      </c>
      <c r="G28" s="441"/>
      <c r="H28" s="441"/>
      <c r="I28" s="441"/>
      <c r="J28" s="441"/>
      <c r="K28" s="332">
        <v>6</v>
      </c>
      <c r="L28" s="332">
        <v>8</v>
      </c>
      <c r="M28" s="441">
        <f t="shared" si="4"/>
        <v>480</v>
      </c>
      <c r="N28" s="289" t="s">
        <v>40</v>
      </c>
      <c r="O28" s="289" t="s">
        <v>299</v>
      </c>
      <c r="P28" s="441">
        <v>12000</v>
      </c>
      <c r="Q28" s="441">
        <f t="shared" si="5"/>
        <v>60000</v>
      </c>
      <c r="R28" s="441">
        <v>15000</v>
      </c>
      <c r="S28" s="441">
        <f t="shared" si="6"/>
        <v>75000</v>
      </c>
      <c r="T28" s="441">
        <v>18000</v>
      </c>
      <c r="U28" s="441">
        <f t="shared" si="7"/>
        <v>90000</v>
      </c>
      <c r="V28" s="445"/>
      <c r="W28" s="445"/>
      <c r="X28" s="446"/>
      <c r="Y28" s="446"/>
      <c r="Z28" s="446"/>
      <c r="AA28" s="446"/>
      <c r="AB28" s="446"/>
      <c r="AC28" s="446"/>
      <c r="AD28" s="446"/>
      <c r="AE28" s="318"/>
      <c r="AF28" s="318"/>
      <c r="AG28" s="318"/>
    </row>
    <row r="29" spans="1:33" ht="18" x14ac:dyDescent="0.2">
      <c r="A29" s="332">
        <v>12</v>
      </c>
      <c r="B29" s="323" t="s">
        <v>402</v>
      </c>
      <c r="C29" s="429" t="s">
        <v>599</v>
      </c>
      <c r="D29" s="442"/>
      <c r="E29" s="443" t="s">
        <v>618</v>
      </c>
      <c r="F29" s="444">
        <v>10</v>
      </c>
      <c r="G29" s="441"/>
      <c r="H29" s="441"/>
      <c r="I29" s="441"/>
      <c r="J29" s="441"/>
      <c r="K29" s="332">
        <v>6</v>
      </c>
      <c r="L29" s="332">
        <v>8</v>
      </c>
      <c r="M29" s="441">
        <f t="shared" si="4"/>
        <v>960</v>
      </c>
      <c r="N29" s="289" t="s">
        <v>40</v>
      </c>
      <c r="O29" s="289" t="s">
        <v>299</v>
      </c>
      <c r="P29" s="441">
        <v>12000</v>
      </c>
      <c r="Q29" s="441">
        <f t="shared" si="5"/>
        <v>120000</v>
      </c>
      <c r="R29" s="441">
        <v>15000</v>
      </c>
      <c r="S29" s="441">
        <f t="shared" si="6"/>
        <v>150000</v>
      </c>
      <c r="T29" s="441">
        <v>18000</v>
      </c>
      <c r="U29" s="441">
        <f t="shared" si="7"/>
        <v>180000</v>
      </c>
      <c r="V29" s="445"/>
      <c r="W29" s="445"/>
      <c r="X29" s="446" t="s">
        <v>110</v>
      </c>
      <c r="Y29" s="446"/>
      <c r="Z29" s="446"/>
      <c r="AA29" s="446"/>
      <c r="AB29" s="453" t="s">
        <v>110</v>
      </c>
      <c r="AC29" s="446" t="s">
        <v>251</v>
      </c>
      <c r="AD29" s="446" t="s">
        <v>662</v>
      </c>
      <c r="AE29" s="318"/>
      <c r="AF29" s="318"/>
      <c r="AG29" s="318"/>
    </row>
    <row r="30" spans="1:33" ht="17" x14ac:dyDescent="0.2">
      <c r="A30" s="332">
        <v>13</v>
      </c>
      <c r="B30" s="323" t="s">
        <v>402</v>
      </c>
      <c r="C30" s="429" t="s">
        <v>600</v>
      </c>
      <c r="D30" s="442"/>
      <c r="E30" s="443" t="s">
        <v>619</v>
      </c>
      <c r="F30" s="444">
        <v>7</v>
      </c>
      <c r="G30" s="441"/>
      <c r="H30" s="441"/>
      <c r="I30" s="441"/>
      <c r="J30" s="441"/>
      <c r="K30" s="332">
        <v>6</v>
      </c>
      <c r="L30" s="332">
        <v>8</v>
      </c>
      <c r="M30" s="441">
        <f t="shared" si="4"/>
        <v>672</v>
      </c>
      <c r="N30" s="289" t="s">
        <v>40</v>
      </c>
      <c r="O30" s="289" t="s">
        <v>299</v>
      </c>
      <c r="P30" s="441">
        <v>12000</v>
      </c>
      <c r="Q30" s="441">
        <f t="shared" si="5"/>
        <v>84000</v>
      </c>
      <c r="R30" s="441">
        <v>15000</v>
      </c>
      <c r="S30" s="441">
        <f t="shared" si="6"/>
        <v>105000</v>
      </c>
      <c r="T30" s="441">
        <v>18000</v>
      </c>
      <c r="U30" s="441">
        <f t="shared" si="7"/>
        <v>126000</v>
      </c>
      <c r="V30" s="445"/>
      <c r="W30" s="445"/>
      <c r="X30" s="446"/>
      <c r="Y30" s="446"/>
      <c r="Z30" s="446"/>
      <c r="AA30" s="446"/>
      <c r="AB30" s="446"/>
      <c r="AC30" s="446"/>
      <c r="AD30" s="446"/>
      <c r="AE30" s="318"/>
      <c r="AF30" s="318"/>
      <c r="AG30" s="318"/>
    </row>
    <row r="31" spans="1:33" ht="32" x14ac:dyDescent="0.2">
      <c r="A31" s="332">
        <v>14</v>
      </c>
      <c r="B31" s="323" t="s">
        <v>402</v>
      </c>
      <c r="C31" s="429" t="s">
        <v>601</v>
      </c>
      <c r="D31" s="442"/>
      <c r="E31" s="443" t="s">
        <v>620</v>
      </c>
      <c r="F31" s="444">
        <v>12</v>
      </c>
      <c r="G31" s="441"/>
      <c r="H31" s="441"/>
      <c r="I31" s="441"/>
      <c r="J31" s="441"/>
      <c r="K31" s="332">
        <v>6</v>
      </c>
      <c r="L31" s="332">
        <v>8</v>
      </c>
      <c r="M31" s="441">
        <f t="shared" si="4"/>
        <v>1152</v>
      </c>
      <c r="N31" s="289" t="s">
        <v>40</v>
      </c>
      <c r="O31" s="289" t="s">
        <v>299</v>
      </c>
      <c r="P31" s="441">
        <v>12000</v>
      </c>
      <c r="Q31" s="441">
        <f t="shared" si="5"/>
        <v>144000</v>
      </c>
      <c r="R31" s="441">
        <v>15000</v>
      </c>
      <c r="S31" s="441">
        <f t="shared" si="6"/>
        <v>180000</v>
      </c>
      <c r="T31" s="441">
        <v>18000</v>
      </c>
      <c r="U31" s="441">
        <f t="shared" si="7"/>
        <v>216000</v>
      </c>
      <c r="V31" s="445"/>
      <c r="W31" s="445"/>
      <c r="X31" s="446"/>
      <c r="Y31" s="446"/>
      <c r="Z31" s="446"/>
      <c r="AA31" s="446"/>
      <c r="AB31" s="446"/>
      <c r="AC31" s="446"/>
      <c r="AD31" s="446"/>
      <c r="AE31" s="318"/>
      <c r="AF31" s="318"/>
      <c r="AG31" s="318"/>
    </row>
    <row r="32" spans="1:33" ht="32" x14ac:dyDescent="0.2">
      <c r="A32" s="332">
        <v>15</v>
      </c>
      <c r="B32" s="323" t="s">
        <v>402</v>
      </c>
      <c r="C32" s="429" t="s">
        <v>602</v>
      </c>
      <c r="D32" s="442"/>
      <c r="E32" s="443" t="s">
        <v>621</v>
      </c>
      <c r="F32" s="444">
        <v>4</v>
      </c>
      <c r="G32" s="441"/>
      <c r="H32" s="441"/>
      <c r="I32" s="441"/>
      <c r="J32" s="441"/>
      <c r="K32" s="332">
        <v>6</v>
      </c>
      <c r="L32" s="332">
        <v>8</v>
      </c>
      <c r="M32" s="441">
        <f t="shared" si="4"/>
        <v>384</v>
      </c>
      <c r="N32" s="289" t="s">
        <v>40</v>
      </c>
      <c r="O32" s="289" t="s">
        <v>299</v>
      </c>
      <c r="P32" s="441">
        <v>10000</v>
      </c>
      <c r="Q32" s="441">
        <f t="shared" si="5"/>
        <v>40000</v>
      </c>
      <c r="R32" s="441">
        <v>12000</v>
      </c>
      <c r="S32" s="441">
        <f t="shared" si="6"/>
        <v>48000</v>
      </c>
      <c r="T32" s="441">
        <v>15000</v>
      </c>
      <c r="U32" s="441">
        <f t="shared" si="7"/>
        <v>60000</v>
      </c>
      <c r="V32" s="445"/>
      <c r="W32" s="445"/>
      <c r="X32" s="446"/>
      <c r="Y32" s="446"/>
      <c r="Z32" s="446"/>
      <c r="AA32" s="446"/>
      <c r="AB32" s="446"/>
      <c r="AC32" s="446"/>
      <c r="AD32" s="446"/>
      <c r="AE32" s="318"/>
      <c r="AF32" s="318"/>
      <c r="AG32" s="318"/>
    </row>
    <row r="33" spans="1:33" ht="32" x14ac:dyDescent="0.2">
      <c r="A33" s="332">
        <v>16</v>
      </c>
      <c r="B33" s="323" t="s">
        <v>402</v>
      </c>
      <c r="C33" s="429" t="s">
        <v>603</v>
      </c>
      <c r="D33" s="442"/>
      <c r="E33" s="443" t="s">
        <v>622</v>
      </c>
      <c r="F33" s="444">
        <v>7</v>
      </c>
      <c r="G33" s="441"/>
      <c r="H33" s="441"/>
      <c r="I33" s="441"/>
      <c r="J33" s="441"/>
      <c r="K33" s="332">
        <v>6</v>
      </c>
      <c r="L33" s="332">
        <v>8</v>
      </c>
      <c r="M33" s="441">
        <f t="shared" si="4"/>
        <v>672</v>
      </c>
      <c r="N33" s="289" t="s">
        <v>40</v>
      </c>
      <c r="O33" s="289" t="s">
        <v>299</v>
      </c>
      <c r="P33" s="441">
        <v>10000</v>
      </c>
      <c r="Q33" s="441">
        <f t="shared" si="5"/>
        <v>70000</v>
      </c>
      <c r="R33" s="441">
        <v>12000</v>
      </c>
      <c r="S33" s="441">
        <f t="shared" si="6"/>
        <v>84000</v>
      </c>
      <c r="T33" s="441">
        <v>15000</v>
      </c>
      <c r="U33" s="441">
        <f t="shared" si="7"/>
        <v>105000</v>
      </c>
      <c r="V33" s="445"/>
      <c r="W33" s="445"/>
      <c r="X33" s="446"/>
      <c r="Y33" s="446"/>
      <c r="Z33" s="446"/>
      <c r="AA33" s="446"/>
      <c r="AB33" s="446"/>
      <c r="AC33" s="446"/>
      <c r="AD33" s="446"/>
      <c r="AE33" s="318"/>
      <c r="AF33" s="318"/>
      <c r="AG33" s="318"/>
    </row>
    <row r="34" spans="1:33" ht="17" x14ac:dyDescent="0.2">
      <c r="A34" s="332">
        <v>17</v>
      </c>
      <c r="B34" s="323" t="s">
        <v>402</v>
      </c>
      <c r="C34" s="429" t="s">
        <v>604</v>
      </c>
      <c r="D34" s="442"/>
      <c r="E34" s="443" t="s">
        <v>623</v>
      </c>
      <c r="F34" s="444">
        <v>12</v>
      </c>
      <c r="G34" s="441"/>
      <c r="H34" s="441"/>
      <c r="I34" s="441"/>
      <c r="J34" s="441"/>
      <c r="K34" s="332">
        <v>6</v>
      </c>
      <c r="L34" s="332">
        <v>8</v>
      </c>
      <c r="M34" s="441">
        <f t="shared" si="4"/>
        <v>1152</v>
      </c>
      <c r="N34" s="289" t="s">
        <v>40</v>
      </c>
      <c r="O34" s="289" t="s">
        <v>299</v>
      </c>
      <c r="P34" s="441">
        <v>10000</v>
      </c>
      <c r="Q34" s="441">
        <f t="shared" si="5"/>
        <v>120000</v>
      </c>
      <c r="R34" s="441">
        <v>12000</v>
      </c>
      <c r="S34" s="441">
        <f t="shared" si="6"/>
        <v>144000</v>
      </c>
      <c r="T34" s="441">
        <v>15000</v>
      </c>
      <c r="U34" s="441">
        <f t="shared" si="7"/>
        <v>180000</v>
      </c>
      <c r="V34" s="445"/>
      <c r="W34" s="445"/>
      <c r="X34" s="446"/>
      <c r="Y34" s="446"/>
      <c r="Z34" s="446"/>
      <c r="AA34" s="446"/>
      <c r="AB34" s="446"/>
      <c r="AC34" s="446"/>
      <c r="AD34" s="446"/>
      <c r="AE34" s="318"/>
      <c r="AF34" s="318"/>
      <c r="AG34" s="318"/>
    </row>
    <row r="35" spans="1:33" ht="17" x14ac:dyDescent="0.2">
      <c r="A35" s="332">
        <v>18</v>
      </c>
      <c r="B35" s="323" t="s">
        <v>402</v>
      </c>
      <c r="C35" s="429" t="s">
        <v>605</v>
      </c>
      <c r="D35" s="442"/>
      <c r="E35" s="443" t="s">
        <v>624</v>
      </c>
      <c r="F35" s="444">
        <v>11</v>
      </c>
      <c r="G35" s="441"/>
      <c r="H35" s="441"/>
      <c r="I35" s="441"/>
      <c r="J35" s="441"/>
      <c r="K35" s="332">
        <v>6</v>
      </c>
      <c r="L35" s="332">
        <v>8</v>
      </c>
      <c r="M35" s="441">
        <f t="shared" si="4"/>
        <v>1056</v>
      </c>
      <c r="N35" s="289" t="s">
        <v>40</v>
      </c>
      <c r="O35" s="289" t="s">
        <v>299</v>
      </c>
      <c r="P35" s="441">
        <v>12000</v>
      </c>
      <c r="Q35" s="441">
        <f t="shared" si="5"/>
        <v>132000</v>
      </c>
      <c r="R35" s="441">
        <v>15000</v>
      </c>
      <c r="S35" s="441">
        <f t="shared" si="6"/>
        <v>165000</v>
      </c>
      <c r="T35" s="441">
        <v>18000</v>
      </c>
      <c r="U35" s="441">
        <f t="shared" si="7"/>
        <v>198000</v>
      </c>
      <c r="V35" s="445"/>
      <c r="W35" s="445"/>
      <c r="X35" s="446"/>
      <c r="Y35" s="446"/>
      <c r="Z35" s="446"/>
      <c r="AA35" s="446"/>
      <c r="AB35" s="446"/>
      <c r="AC35" s="446"/>
      <c r="AD35" s="446"/>
      <c r="AE35" s="318"/>
      <c r="AF35" s="318"/>
      <c r="AG35" s="318"/>
    </row>
    <row r="36" spans="1:33" ht="17" x14ac:dyDescent="0.2">
      <c r="A36" s="332">
        <v>19</v>
      </c>
      <c r="B36" s="323" t="s">
        <v>402</v>
      </c>
      <c r="C36" s="429" t="s">
        <v>606</v>
      </c>
      <c r="D36" s="442"/>
      <c r="E36" s="443" t="s">
        <v>625</v>
      </c>
      <c r="F36" s="444">
        <v>7</v>
      </c>
      <c r="G36" s="441"/>
      <c r="H36" s="441"/>
      <c r="I36" s="441"/>
      <c r="J36" s="441"/>
      <c r="K36" s="332">
        <v>6</v>
      </c>
      <c r="L36" s="332">
        <v>8</v>
      </c>
      <c r="M36" s="441">
        <f t="shared" si="4"/>
        <v>672</v>
      </c>
      <c r="N36" s="289" t="s">
        <v>40</v>
      </c>
      <c r="O36" s="289" t="s">
        <v>299</v>
      </c>
      <c r="P36" s="441">
        <v>15000</v>
      </c>
      <c r="Q36" s="441">
        <f t="shared" si="5"/>
        <v>105000</v>
      </c>
      <c r="R36" s="441">
        <v>18000</v>
      </c>
      <c r="S36" s="441">
        <f t="shared" si="6"/>
        <v>126000</v>
      </c>
      <c r="T36" s="441">
        <v>20000</v>
      </c>
      <c r="U36" s="441">
        <f t="shared" si="7"/>
        <v>140000</v>
      </c>
      <c r="V36" s="445"/>
      <c r="W36" s="445"/>
      <c r="X36" s="446"/>
      <c r="Y36" s="446"/>
      <c r="Z36" s="446"/>
      <c r="AA36" s="446"/>
      <c r="AB36" s="446"/>
      <c r="AC36" s="446"/>
      <c r="AD36" s="446"/>
      <c r="AE36" s="318"/>
      <c r="AF36" s="318"/>
      <c r="AG36" s="318"/>
    </row>
    <row r="37" spans="1:33" ht="17" x14ac:dyDescent="0.2">
      <c r="A37" s="332">
        <v>1</v>
      </c>
      <c r="B37" s="323" t="s">
        <v>402</v>
      </c>
      <c r="C37" s="424" t="s">
        <v>521</v>
      </c>
      <c r="D37" s="316">
        <v>3</v>
      </c>
      <c r="E37" s="361" t="s">
        <v>376</v>
      </c>
      <c r="F37" s="332">
        <v>3</v>
      </c>
      <c r="G37" s="332">
        <v>64</v>
      </c>
      <c r="H37" s="332">
        <v>101</v>
      </c>
      <c r="I37" s="289">
        <v>60</v>
      </c>
      <c r="J37" s="332">
        <v>99</v>
      </c>
      <c r="K37" s="332">
        <v>5</v>
      </c>
      <c r="L37" s="332">
        <v>8</v>
      </c>
      <c r="M37" s="332">
        <v>240</v>
      </c>
      <c r="N37" s="332" t="s">
        <v>40</v>
      </c>
      <c r="O37" s="332" t="s">
        <v>299</v>
      </c>
      <c r="P37" s="332">
        <v>12000</v>
      </c>
      <c r="Q37" s="332">
        <f t="shared" si="1"/>
        <v>36000</v>
      </c>
      <c r="R37" s="332">
        <v>15000</v>
      </c>
      <c r="S37" s="332">
        <f t="shared" si="2"/>
        <v>45000</v>
      </c>
      <c r="T37" s="332">
        <v>18000</v>
      </c>
      <c r="U37" s="332">
        <f t="shared" ref="U37:U51" si="8">T37*F37</f>
        <v>54000</v>
      </c>
      <c r="V37" s="430" t="s">
        <v>565</v>
      </c>
      <c r="W37" s="430" t="s">
        <v>578</v>
      </c>
      <c r="X37" s="322" t="s">
        <v>558</v>
      </c>
      <c r="Y37" s="364" t="s">
        <v>405</v>
      </c>
      <c r="Z37" s="410">
        <v>45200</v>
      </c>
      <c r="AA37" s="438" t="s">
        <v>405</v>
      </c>
      <c r="AB37" s="332"/>
      <c r="AC37" s="332"/>
      <c r="AD37" s="332"/>
      <c r="AE37" s="311"/>
      <c r="AF37" s="318"/>
      <c r="AG37" s="323"/>
    </row>
    <row r="38" spans="1:33" ht="16" x14ac:dyDescent="0.2">
      <c r="A38" s="332">
        <v>2</v>
      </c>
      <c r="B38" s="323" t="s">
        <v>402</v>
      </c>
      <c r="C38" s="316" t="s">
        <v>377</v>
      </c>
      <c r="D38" s="316">
        <v>11</v>
      </c>
      <c r="E38" s="361" t="s">
        <v>378</v>
      </c>
      <c r="F38" s="332">
        <v>11</v>
      </c>
      <c r="G38" s="332">
        <v>64</v>
      </c>
      <c r="H38" s="332">
        <v>101</v>
      </c>
      <c r="I38" s="289">
        <v>60</v>
      </c>
      <c r="J38" s="332">
        <v>99</v>
      </c>
      <c r="K38" s="332">
        <v>5</v>
      </c>
      <c r="L38" s="332">
        <v>8</v>
      </c>
      <c r="M38" s="332">
        <v>880</v>
      </c>
      <c r="N38" s="332" t="s">
        <v>40</v>
      </c>
      <c r="O38" s="332" t="s">
        <v>299</v>
      </c>
      <c r="P38" s="332">
        <v>12000</v>
      </c>
      <c r="Q38" s="332">
        <f t="shared" si="1"/>
        <v>132000</v>
      </c>
      <c r="R38" s="332">
        <v>15000</v>
      </c>
      <c r="S38" s="332">
        <f t="shared" si="2"/>
        <v>165000</v>
      </c>
      <c r="T38" s="332">
        <v>18000</v>
      </c>
      <c r="U38" s="332">
        <f t="shared" si="8"/>
        <v>198000</v>
      </c>
      <c r="V38" s="332" t="s">
        <v>566</v>
      </c>
      <c r="W38" s="289" t="s">
        <v>576</v>
      </c>
      <c r="X38" s="322" t="s">
        <v>562</v>
      </c>
      <c r="Y38" s="364" t="s">
        <v>405</v>
      </c>
      <c r="Z38" s="410">
        <v>45200</v>
      </c>
      <c r="AA38" s="438" t="s">
        <v>405</v>
      </c>
      <c r="AB38" s="332"/>
      <c r="AC38" s="332"/>
      <c r="AD38" s="332"/>
      <c r="AE38" s="311"/>
      <c r="AF38" s="311"/>
      <c r="AG38" s="323"/>
    </row>
    <row r="39" spans="1:33" ht="16" x14ac:dyDescent="0.2">
      <c r="A39" s="332">
        <v>3</v>
      </c>
      <c r="B39" s="323" t="s">
        <v>402</v>
      </c>
      <c r="C39" s="316" t="s">
        <v>379</v>
      </c>
      <c r="D39" s="316">
        <v>6</v>
      </c>
      <c r="E39" s="361" t="s">
        <v>380</v>
      </c>
      <c r="F39" s="332">
        <v>7</v>
      </c>
      <c r="G39" s="332">
        <v>64</v>
      </c>
      <c r="H39" s="332">
        <v>101</v>
      </c>
      <c r="I39" s="289">
        <v>60</v>
      </c>
      <c r="J39" s="332">
        <v>99</v>
      </c>
      <c r="K39" s="332">
        <v>5</v>
      </c>
      <c r="L39" s="332">
        <v>8</v>
      </c>
      <c r="M39" s="332">
        <v>560</v>
      </c>
      <c r="N39" s="332" t="s">
        <v>40</v>
      </c>
      <c r="O39" s="332" t="s">
        <v>299</v>
      </c>
      <c r="P39" s="332">
        <v>12000</v>
      </c>
      <c r="Q39" s="332">
        <f t="shared" si="1"/>
        <v>84000</v>
      </c>
      <c r="R39" s="332">
        <v>15000</v>
      </c>
      <c r="S39" s="332">
        <f t="shared" si="2"/>
        <v>105000</v>
      </c>
      <c r="T39" s="332">
        <v>18000</v>
      </c>
      <c r="U39" s="332">
        <f t="shared" si="8"/>
        <v>126000</v>
      </c>
      <c r="V39" s="332" t="s">
        <v>566</v>
      </c>
      <c r="W39" s="289" t="s">
        <v>576</v>
      </c>
      <c r="X39" s="322" t="s">
        <v>562</v>
      </c>
      <c r="Y39" s="364" t="s">
        <v>405</v>
      </c>
      <c r="Z39" s="410">
        <v>45200</v>
      </c>
      <c r="AA39" s="438" t="s">
        <v>405</v>
      </c>
      <c r="AB39" s="332"/>
      <c r="AC39" s="332"/>
      <c r="AD39" s="332"/>
      <c r="AE39" s="311"/>
      <c r="AF39" s="311"/>
      <c r="AG39" s="323"/>
    </row>
    <row r="40" spans="1:33" ht="16" x14ac:dyDescent="0.2">
      <c r="A40" s="332">
        <v>4</v>
      </c>
      <c r="B40" s="323" t="s">
        <v>402</v>
      </c>
      <c r="C40" s="324" t="s">
        <v>522</v>
      </c>
      <c r="D40" s="316">
        <v>5</v>
      </c>
      <c r="E40" s="361" t="s">
        <v>381</v>
      </c>
      <c r="F40" s="332">
        <v>5</v>
      </c>
      <c r="G40" s="332">
        <v>64</v>
      </c>
      <c r="H40" s="332">
        <v>101</v>
      </c>
      <c r="I40" s="289">
        <v>60</v>
      </c>
      <c r="J40" s="332">
        <v>99</v>
      </c>
      <c r="K40" s="332">
        <v>5</v>
      </c>
      <c r="L40" s="332">
        <v>8</v>
      </c>
      <c r="M40" s="332">
        <v>400</v>
      </c>
      <c r="N40" s="332" t="s">
        <v>40</v>
      </c>
      <c r="O40" s="332" t="s">
        <v>299</v>
      </c>
      <c r="P40" s="332">
        <v>12000</v>
      </c>
      <c r="Q40" s="332">
        <f t="shared" si="1"/>
        <v>60000</v>
      </c>
      <c r="R40" s="332">
        <v>15000</v>
      </c>
      <c r="S40" s="332">
        <f t="shared" si="2"/>
        <v>75000</v>
      </c>
      <c r="T40" s="332">
        <v>18000</v>
      </c>
      <c r="U40" s="332">
        <f t="shared" si="8"/>
        <v>90000</v>
      </c>
      <c r="V40" s="433" t="s">
        <v>579</v>
      </c>
      <c r="W40" s="433" t="s">
        <v>583</v>
      </c>
      <c r="X40" s="322" t="s">
        <v>558</v>
      </c>
      <c r="Y40" s="364" t="s">
        <v>405</v>
      </c>
      <c r="Z40" s="410">
        <v>45200</v>
      </c>
      <c r="AA40" s="438" t="s">
        <v>405</v>
      </c>
      <c r="AB40" s="332"/>
      <c r="AC40" s="332"/>
      <c r="AD40" s="332"/>
      <c r="AE40" s="311"/>
      <c r="AF40" s="311"/>
      <c r="AG40" s="420" t="s">
        <v>570</v>
      </c>
    </row>
    <row r="41" spans="1:33" ht="32" x14ac:dyDescent="0.2">
      <c r="A41" s="332">
        <v>5</v>
      </c>
      <c r="B41" s="323" t="s">
        <v>402</v>
      </c>
      <c r="C41" s="375" t="s">
        <v>523</v>
      </c>
      <c r="D41" s="325">
        <v>2</v>
      </c>
      <c r="E41" s="361" t="s">
        <v>382</v>
      </c>
      <c r="F41" s="332">
        <v>7</v>
      </c>
      <c r="G41" s="332">
        <v>64</v>
      </c>
      <c r="H41" s="332">
        <v>101</v>
      </c>
      <c r="I41" s="289">
        <v>60</v>
      </c>
      <c r="J41" s="332">
        <v>99</v>
      </c>
      <c r="K41" s="332">
        <v>5</v>
      </c>
      <c r="L41" s="332">
        <v>8</v>
      </c>
      <c r="M41" s="332">
        <v>560</v>
      </c>
      <c r="N41" s="332" t="s">
        <v>40</v>
      </c>
      <c r="O41" s="332" t="s">
        <v>299</v>
      </c>
      <c r="P41" s="332">
        <v>12000</v>
      </c>
      <c r="Q41" s="332">
        <f t="shared" si="1"/>
        <v>84000</v>
      </c>
      <c r="R41" s="332">
        <v>15000</v>
      </c>
      <c r="S41" s="332">
        <f t="shared" si="2"/>
        <v>105000</v>
      </c>
      <c r="T41" s="332">
        <v>18000</v>
      </c>
      <c r="U41" s="332">
        <f t="shared" si="8"/>
        <v>126000</v>
      </c>
      <c r="V41" s="419" t="s">
        <v>563</v>
      </c>
      <c r="W41" s="419" t="s">
        <v>568</v>
      </c>
      <c r="X41" s="431" t="s">
        <v>569</v>
      </c>
      <c r="Y41" s="431" t="s">
        <v>405</v>
      </c>
      <c r="Z41" s="410">
        <v>45261</v>
      </c>
      <c r="AA41" s="438" t="s">
        <v>405</v>
      </c>
      <c r="AB41" s="332"/>
      <c r="AC41" s="332"/>
      <c r="AD41" s="332"/>
      <c r="AE41" s="311"/>
      <c r="AF41" s="311"/>
      <c r="AG41" s="323" t="s">
        <v>556</v>
      </c>
    </row>
    <row r="42" spans="1:33" ht="16" x14ac:dyDescent="0.2">
      <c r="A42" s="332">
        <v>6</v>
      </c>
      <c r="B42" s="323" t="s">
        <v>402</v>
      </c>
      <c r="C42" s="323" t="s">
        <v>524</v>
      </c>
      <c r="D42" s="316">
        <v>8</v>
      </c>
      <c r="E42" s="361" t="s">
        <v>383</v>
      </c>
      <c r="F42" s="332">
        <v>8</v>
      </c>
      <c r="G42" s="332">
        <v>64</v>
      </c>
      <c r="H42" s="332">
        <v>101</v>
      </c>
      <c r="I42" s="289">
        <v>60</v>
      </c>
      <c r="J42" s="332">
        <v>99</v>
      </c>
      <c r="K42" s="332">
        <v>5</v>
      </c>
      <c r="L42" s="332">
        <v>8</v>
      </c>
      <c r="M42" s="332">
        <v>640</v>
      </c>
      <c r="N42" s="332" t="s">
        <v>40</v>
      </c>
      <c r="O42" s="332" t="s">
        <v>299</v>
      </c>
      <c r="P42" s="332">
        <v>12000</v>
      </c>
      <c r="Q42" s="332">
        <f t="shared" si="1"/>
        <v>96000</v>
      </c>
      <c r="R42" s="332">
        <v>15000</v>
      </c>
      <c r="S42" s="332">
        <f t="shared" si="2"/>
        <v>120000</v>
      </c>
      <c r="T42" s="332">
        <v>18000</v>
      </c>
      <c r="U42" s="332">
        <f t="shared" si="8"/>
        <v>144000</v>
      </c>
      <c r="V42" s="332" t="s">
        <v>400</v>
      </c>
      <c r="W42" s="430" t="s">
        <v>551</v>
      </c>
      <c r="X42" s="322" t="s">
        <v>441</v>
      </c>
      <c r="Y42" s="364" t="s">
        <v>441</v>
      </c>
      <c r="Z42" s="321">
        <v>45413</v>
      </c>
      <c r="AA42" s="438" t="s">
        <v>405</v>
      </c>
      <c r="AB42" s="332"/>
      <c r="AC42" s="332"/>
      <c r="AD42" s="332"/>
      <c r="AE42" s="311"/>
      <c r="AF42" s="311"/>
      <c r="AG42" s="323"/>
    </row>
    <row r="43" spans="1:33" ht="16" x14ac:dyDescent="0.2">
      <c r="A43" s="332">
        <v>7</v>
      </c>
      <c r="B43" s="323" t="s">
        <v>402</v>
      </c>
      <c r="C43" s="366" t="s">
        <v>525</v>
      </c>
      <c r="D43" s="316"/>
      <c r="E43" s="361" t="s">
        <v>384</v>
      </c>
      <c r="F43" s="332">
        <v>16</v>
      </c>
      <c r="G43" s="332">
        <v>64</v>
      </c>
      <c r="H43" s="332">
        <v>101</v>
      </c>
      <c r="I43" s="289">
        <v>60</v>
      </c>
      <c r="J43" s="332">
        <v>99</v>
      </c>
      <c r="K43" s="332">
        <v>5</v>
      </c>
      <c r="L43" s="332">
        <v>8</v>
      </c>
      <c r="M43" s="332">
        <v>1280</v>
      </c>
      <c r="N43" s="332" t="s">
        <v>40</v>
      </c>
      <c r="O43" s="332" t="s">
        <v>299</v>
      </c>
      <c r="P43" s="332">
        <v>8000</v>
      </c>
      <c r="Q43" s="332">
        <f t="shared" si="1"/>
        <v>128000</v>
      </c>
      <c r="R43" s="332">
        <v>10000</v>
      </c>
      <c r="S43" s="332">
        <f t="shared" si="2"/>
        <v>160000</v>
      </c>
      <c r="T43" s="332">
        <v>12000</v>
      </c>
      <c r="U43" s="332">
        <f t="shared" si="8"/>
        <v>192000</v>
      </c>
      <c r="V43" s="332"/>
      <c r="W43" s="332"/>
      <c r="X43" s="439" t="s">
        <v>29</v>
      </c>
      <c r="Y43" s="439" t="s">
        <v>29</v>
      </c>
      <c r="Z43" s="332"/>
      <c r="AA43" s="332"/>
      <c r="AB43" s="332"/>
      <c r="AC43" s="332"/>
      <c r="AD43" s="332"/>
      <c r="AE43" s="311"/>
      <c r="AF43" s="311"/>
      <c r="AG43" s="311"/>
    </row>
    <row r="44" spans="1:33" ht="32.25" customHeight="1" x14ac:dyDescent="0.2">
      <c r="A44" s="332">
        <v>7</v>
      </c>
      <c r="B44" s="323" t="s">
        <v>402</v>
      </c>
      <c r="C44" s="323" t="s">
        <v>526</v>
      </c>
      <c r="D44" s="334">
        <v>3</v>
      </c>
      <c r="E44" s="361" t="s">
        <v>385</v>
      </c>
      <c r="F44" s="332">
        <v>3</v>
      </c>
      <c r="G44" s="332">
        <v>64</v>
      </c>
      <c r="H44" s="332">
        <v>101</v>
      </c>
      <c r="I44" s="289">
        <v>60</v>
      </c>
      <c r="J44" s="332">
        <v>99</v>
      </c>
      <c r="K44" s="332">
        <v>5</v>
      </c>
      <c r="L44" s="332">
        <v>8</v>
      </c>
      <c r="M44" s="332">
        <v>240</v>
      </c>
      <c r="N44" s="332" t="s">
        <v>40</v>
      </c>
      <c r="O44" s="332" t="s">
        <v>299</v>
      </c>
      <c r="P44" s="332">
        <v>8000</v>
      </c>
      <c r="Q44" s="332">
        <f t="shared" si="1"/>
        <v>24000</v>
      </c>
      <c r="R44" s="332">
        <v>10000</v>
      </c>
      <c r="S44" s="332">
        <f t="shared" si="2"/>
        <v>30000</v>
      </c>
      <c r="T44" s="332">
        <v>12000</v>
      </c>
      <c r="U44" s="332">
        <f t="shared" si="8"/>
        <v>36000</v>
      </c>
      <c r="V44" s="332"/>
      <c r="W44" s="332"/>
      <c r="X44" s="439" t="s">
        <v>29</v>
      </c>
      <c r="Y44" s="439" t="s">
        <v>29</v>
      </c>
      <c r="Z44" s="332"/>
      <c r="AA44" s="332"/>
      <c r="AB44" s="332"/>
      <c r="AC44" s="332"/>
      <c r="AD44" s="332"/>
      <c r="AE44" s="311"/>
      <c r="AF44" s="311"/>
      <c r="AG44" s="323" t="s">
        <v>545</v>
      </c>
    </row>
    <row r="45" spans="1:33" ht="16" x14ac:dyDescent="0.2">
      <c r="A45" s="332">
        <v>9</v>
      </c>
      <c r="B45" s="323" t="s">
        <v>402</v>
      </c>
      <c r="C45" s="375" t="s">
        <v>527</v>
      </c>
      <c r="D45" s="325"/>
      <c r="E45" s="361" t="s">
        <v>386</v>
      </c>
      <c r="F45" s="332">
        <v>10</v>
      </c>
      <c r="G45" s="332">
        <v>64</v>
      </c>
      <c r="H45" s="332">
        <v>101</v>
      </c>
      <c r="I45" s="289">
        <v>60</v>
      </c>
      <c r="J45" s="332">
        <v>99</v>
      </c>
      <c r="K45" s="332">
        <v>5</v>
      </c>
      <c r="L45" s="332">
        <v>8</v>
      </c>
      <c r="M45" s="332">
        <v>800</v>
      </c>
      <c r="N45" s="332" t="s">
        <v>40</v>
      </c>
      <c r="O45" s="332" t="s">
        <v>299</v>
      </c>
      <c r="P45" s="332">
        <v>8000</v>
      </c>
      <c r="Q45" s="332">
        <f t="shared" si="1"/>
        <v>80000</v>
      </c>
      <c r="R45" s="332">
        <v>10000</v>
      </c>
      <c r="S45" s="332">
        <f t="shared" si="2"/>
        <v>100000</v>
      </c>
      <c r="T45" s="332">
        <v>12000</v>
      </c>
      <c r="U45" s="332">
        <f t="shared" si="8"/>
        <v>120000</v>
      </c>
      <c r="V45" s="332"/>
      <c r="W45" s="332"/>
      <c r="X45" s="439" t="s">
        <v>29</v>
      </c>
      <c r="Y45" s="439" t="s">
        <v>29</v>
      </c>
      <c r="Z45" s="332"/>
      <c r="AA45" s="332"/>
      <c r="AB45" s="332"/>
      <c r="AC45" s="332"/>
      <c r="AD45" s="332"/>
      <c r="AE45" s="311"/>
      <c r="AF45" s="311"/>
      <c r="AG45" s="311"/>
    </row>
    <row r="46" spans="1:33" ht="32" x14ac:dyDescent="0.2">
      <c r="A46" s="332">
        <v>10</v>
      </c>
      <c r="B46" s="323" t="s">
        <v>402</v>
      </c>
      <c r="C46" s="366" t="s">
        <v>528</v>
      </c>
      <c r="D46" s="316"/>
      <c r="E46" s="361" t="s">
        <v>387</v>
      </c>
      <c r="F46" s="332">
        <v>9</v>
      </c>
      <c r="G46" s="384">
        <v>64</v>
      </c>
      <c r="H46" s="332">
        <v>101</v>
      </c>
      <c r="I46" s="289">
        <v>60</v>
      </c>
      <c r="J46" s="332">
        <v>99</v>
      </c>
      <c r="K46" s="332">
        <v>5</v>
      </c>
      <c r="L46" s="332">
        <v>8</v>
      </c>
      <c r="M46" s="332">
        <v>720</v>
      </c>
      <c r="N46" s="332" t="s">
        <v>40</v>
      </c>
      <c r="O46" s="332" t="s">
        <v>299</v>
      </c>
      <c r="P46" s="332">
        <v>8000</v>
      </c>
      <c r="Q46" s="332">
        <f t="shared" si="1"/>
        <v>72000</v>
      </c>
      <c r="R46" s="332">
        <v>10000</v>
      </c>
      <c r="S46" s="332">
        <f t="shared" si="2"/>
        <v>90000</v>
      </c>
      <c r="T46" s="332">
        <v>12000</v>
      </c>
      <c r="U46" s="332">
        <f t="shared" si="8"/>
        <v>108000</v>
      </c>
      <c r="V46" s="332"/>
      <c r="W46" s="332"/>
      <c r="X46" s="439" t="s">
        <v>29</v>
      </c>
      <c r="Y46" s="439" t="s">
        <v>29</v>
      </c>
      <c r="Z46" s="332"/>
      <c r="AA46" s="332"/>
      <c r="AB46" s="332"/>
      <c r="AC46" s="332"/>
      <c r="AD46" s="332"/>
      <c r="AE46" s="311"/>
      <c r="AF46" s="311"/>
      <c r="AG46" s="311"/>
    </row>
    <row r="47" spans="1:33" ht="32" x14ac:dyDescent="0.2">
      <c r="A47" s="332">
        <v>11</v>
      </c>
      <c r="B47" s="323" t="s">
        <v>402</v>
      </c>
      <c r="C47" s="366" t="s">
        <v>529</v>
      </c>
      <c r="D47" s="316"/>
      <c r="E47" s="361" t="s">
        <v>388</v>
      </c>
      <c r="F47" s="332">
        <v>15</v>
      </c>
      <c r="G47" s="332">
        <v>64</v>
      </c>
      <c r="H47" s="332">
        <v>101</v>
      </c>
      <c r="I47" s="289">
        <v>60</v>
      </c>
      <c r="J47" s="332">
        <v>99</v>
      </c>
      <c r="K47" s="332">
        <v>5</v>
      </c>
      <c r="L47" s="332">
        <v>8</v>
      </c>
      <c r="M47" s="332">
        <v>1200</v>
      </c>
      <c r="N47" s="332" t="s">
        <v>40</v>
      </c>
      <c r="O47" s="332" t="s">
        <v>299</v>
      </c>
      <c r="P47" s="332">
        <v>8000</v>
      </c>
      <c r="Q47" s="332">
        <f t="shared" si="1"/>
        <v>120000</v>
      </c>
      <c r="R47" s="332">
        <v>10000</v>
      </c>
      <c r="S47" s="332">
        <f t="shared" si="2"/>
        <v>150000</v>
      </c>
      <c r="T47" s="332">
        <v>12000</v>
      </c>
      <c r="U47" s="332">
        <f t="shared" si="8"/>
        <v>180000</v>
      </c>
      <c r="V47" s="332"/>
      <c r="W47" s="332"/>
      <c r="X47" s="439" t="s">
        <v>29</v>
      </c>
      <c r="Y47" s="439" t="s">
        <v>29</v>
      </c>
      <c r="Z47" s="332"/>
      <c r="AA47" s="332"/>
      <c r="AB47" s="332"/>
      <c r="AC47" s="332"/>
      <c r="AD47" s="332"/>
      <c r="AE47" s="311"/>
      <c r="AF47" s="311"/>
      <c r="AG47" s="311"/>
    </row>
    <row r="48" spans="1:33" ht="16" x14ac:dyDescent="0.2">
      <c r="A48" s="332">
        <v>12</v>
      </c>
      <c r="B48" s="323" t="s">
        <v>402</v>
      </c>
      <c r="C48" s="316" t="s">
        <v>389</v>
      </c>
      <c r="D48" s="316"/>
      <c r="E48" s="361" t="s">
        <v>390</v>
      </c>
      <c r="F48" s="332">
        <v>8</v>
      </c>
      <c r="G48" s="332">
        <v>64</v>
      </c>
      <c r="H48" s="332">
        <v>101</v>
      </c>
      <c r="I48" s="289">
        <v>60</v>
      </c>
      <c r="J48" s="332">
        <v>99</v>
      </c>
      <c r="K48" s="332">
        <v>5</v>
      </c>
      <c r="L48" s="332">
        <v>8</v>
      </c>
      <c r="M48" s="332">
        <v>640</v>
      </c>
      <c r="N48" s="332" t="s">
        <v>40</v>
      </c>
      <c r="O48" s="332" t="s">
        <v>299</v>
      </c>
      <c r="P48" s="332">
        <v>8000</v>
      </c>
      <c r="Q48" s="332">
        <f t="shared" si="1"/>
        <v>64000</v>
      </c>
      <c r="R48" s="332">
        <v>10000</v>
      </c>
      <c r="S48" s="332">
        <f t="shared" si="2"/>
        <v>80000</v>
      </c>
      <c r="T48" s="332">
        <v>12000</v>
      </c>
      <c r="U48" s="332">
        <f t="shared" si="8"/>
        <v>96000</v>
      </c>
      <c r="V48" s="332"/>
      <c r="W48" s="332"/>
      <c r="X48" s="439" t="s">
        <v>29</v>
      </c>
      <c r="Y48" s="439" t="s">
        <v>29</v>
      </c>
      <c r="Z48" s="332"/>
      <c r="AA48" s="332"/>
      <c r="AB48" s="333"/>
      <c r="AC48" s="333"/>
      <c r="AD48" s="333"/>
      <c r="AE48" s="311"/>
      <c r="AF48" s="311"/>
      <c r="AG48" s="311"/>
    </row>
    <row r="49" spans="1:33" ht="16" x14ac:dyDescent="0.2">
      <c r="A49" s="332">
        <v>13</v>
      </c>
      <c r="B49" s="323" t="s">
        <v>402</v>
      </c>
      <c r="C49" s="366" t="s">
        <v>530</v>
      </c>
      <c r="D49" s="316"/>
      <c r="E49" s="361" t="s">
        <v>391</v>
      </c>
      <c r="F49" s="332">
        <v>15</v>
      </c>
      <c r="G49" s="332">
        <v>64</v>
      </c>
      <c r="H49" s="332">
        <v>101</v>
      </c>
      <c r="I49" s="289">
        <v>60</v>
      </c>
      <c r="J49" s="332">
        <v>99</v>
      </c>
      <c r="K49" s="332">
        <v>5</v>
      </c>
      <c r="L49" s="332">
        <v>8</v>
      </c>
      <c r="M49" s="332">
        <v>1200</v>
      </c>
      <c r="N49" s="332" t="s">
        <v>40</v>
      </c>
      <c r="O49" s="332" t="s">
        <v>299</v>
      </c>
      <c r="P49" s="332">
        <v>8000</v>
      </c>
      <c r="Q49" s="332">
        <f t="shared" si="1"/>
        <v>120000</v>
      </c>
      <c r="R49" s="332">
        <v>10000</v>
      </c>
      <c r="S49" s="332">
        <f t="shared" si="2"/>
        <v>150000</v>
      </c>
      <c r="T49" s="332">
        <v>12000</v>
      </c>
      <c r="U49" s="332">
        <f t="shared" si="8"/>
        <v>180000</v>
      </c>
      <c r="V49" s="332"/>
      <c r="W49" s="332"/>
      <c r="X49" s="439" t="s">
        <v>29</v>
      </c>
      <c r="Y49" s="439" t="s">
        <v>29</v>
      </c>
      <c r="Z49" s="332"/>
      <c r="AA49" s="332"/>
      <c r="AB49" s="332"/>
      <c r="AC49" s="332"/>
      <c r="AD49" s="332"/>
      <c r="AE49" s="311"/>
      <c r="AF49" s="311"/>
      <c r="AG49" s="311"/>
    </row>
    <row r="50" spans="1:33" ht="32" x14ac:dyDescent="0.2">
      <c r="A50" s="332">
        <v>14</v>
      </c>
      <c r="B50" s="323" t="s">
        <v>402</v>
      </c>
      <c r="C50" s="366" t="s">
        <v>531</v>
      </c>
      <c r="D50" s="316"/>
      <c r="E50" s="361" t="s">
        <v>392</v>
      </c>
      <c r="F50" s="332">
        <v>9</v>
      </c>
      <c r="G50" s="332">
        <v>64</v>
      </c>
      <c r="H50" s="332">
        <v>101</v>
      </c>
      <c r="I50" s="289">
        <v>60</v>
      </c>
      <c r="J50" s="332">
        <v>99</v>
      </c>
      <c r="K50" s="332">
        <v>5</v>
      </c>
      <c r="L50" s="332">
        <v>8</v>
      </c>
      <c r="M50" s="332">
        <v>720</v>
      </c>
      <c r="N50" s="332" t="s">
        <v>40</v>
      </c>
      <c r="O50" s="332" t="s">
        <v>299</v>
      </c>
      <c r="P50" s="332">
        <v>8000</v>
      </c>
      <c r="Q50" s="332">
        <f t="shared" si="1"/>
        <v>72000</v>
      </c>
      <c r="R50" s="332">
        <v>12000</v>
      </c>
      <c r="S50" s="332">
        <f t="shared" si="2"/>
        <v>108000</v>
      </c>
      <c r="T50" s="332">
        <v>15000</v>
      </c>
      <c r="U50" s="332">
        <f t="shared" si="8"/>
        <v>135000</v>
      </c>
      <c r="V50" s="332"/>
      <c r="W50" s="332"/>
      <c r="X50" s="439" t="s">
        <v>29</v>
      </c>
      <c r="Y50" s="439" t="s">
        <v>29</v>
      </c>
      <c r="Z50" s="332"/>
      <c r="AA50" s="332"/>
      <c r="AB50" s="332"/>
      <c r="AC50" s="332"/>
      <c r="AD50" s="332"/>
      <c r="AE50" s="311"/>
      <c r="AF50" s="311"/>
      <c r="AG50" s="311"/>
    </row>
    <row r="51" spans="1:33" ht="32" x14ac:dyDescent="0.2">
      <c r="A51" s="332">
        <v>15</v>
      </c>
      <c r="B51" s="323" t="s">
        <v>402</v>
      </c>
      <c r="C51" s="366" t="s">
        <v>532</v>
      </c>
      <c r="D51" s="316"/>
      <c r="E51" s="361" t="s">
        <v>393</v>
      </c>
      <c r="F51" s="332">
        <v>11</v>
      </c>
      <c r="G51" s="332">
        <v>64</v>
      </c>
      <c r="H51" s="332">
        <v>101</v>
      </c>
      <c r="I51" s="289">
        <v>60</v>
      </c>
      <c r="J51" s="332">
        <v>99</v>
      </c>
      <c r="K51" s="332">
        <v>5</v>
      </c>
      <c r="L51" s="332">
        <v>8</v>
      </c>
      <c r="M51" s="332">
        <v>880</v>
      </c>
      <c r="N51" s="332" t="s">
        <v>40</v>
      </c>
      <c r="O51" s="332" t="s">
        <v>299</v>
      </c>
      <c r="P51" s="332">
        <v>8000</v>
      </c>
      <c r="Q51" s="332">
        <f t="shared" si="1"/>
        <v>88000</v>
      </c>
      <c r="R51" s="332">
        <v>12000</v>
      </c>
      <c r="S51" s="332">
        <f t="shared" si="2"/>
        <v>132000</v>
      </c>
      <c r="T51" s="332">
        <v>15000</v>
      </c>
      <c r="U51" s="332">
        <f t="shared" si="8"/>
        <v>165000</v>
      </c>
      <c r="V51" s="332"/>
      <c r="W51" s="332"/>
      <c r="X51" s="439" t="s">
        <v>29</v>
      </c>
      <c r="Y51" s="439" t="s">
        <v>29</v>
      </c>
      <c r="Z51" s="332"/>
      <c r="AA51" s="332"/>
      <c r="AB51" s="332"/>
      <c r="AC51" s="332"/>
      <c r="AD51" s="332"/>
      <c r="AE51" s="311"/>
      <c r="AF51" s="311"/>
      <c r="AG51" s="311"/>
    </row>
    <row r="52" spans="1:33" ht="19" x14ac:dyDescent="0.2">
      <c r="A52" s="312"/>
      <c r="C52" s="324"/>
      <c r="D52" s="312">
        <f>SUM(D37:D44)</f>
        <v>38</v>
      </c>
      <c r="F52" s="330">
        <f>SUM(F5:F12)+SUM(F37:F44)</f>
        <v>136</v>
      </c>
      <c r="G52" s="330"/>
      <c r="H52" s="330"/>
      <c r="I52" s="330"/>
      <c r="J52" s="330"/>
      <c r="Q52" s="331">
        <f>SUM(Q5:Q44)</f>
        <v>3565000</v>
      </c>
      <c r="S52" s="331">
        <f>SUM(S5:S44)</f>
        <v>4400000</v>
      </c>
      <c r="U52" s="331">
        <f>SUM(U5:U44)</f>
        <v>5216000</v>
      </c>
    </row>
    <row r="53" spans="1:33" ht="16" x14ac:dyDescent="0.2">
      <c r="A53" s="312"/>
      <c r="B53" s="371" t="s">
        <v>111</v>
      </c>
      <c r="C53" s="324"/>
      <c r="D53" s="312"/>
      <c r="F53" s="326">
        <f>SUM(F37:F51)</f>
        <v>137</v>
      </c>
    </row>
    <row r="54" spans="1:33" ht="16" x14ac:dyDescent="0.2">
      <c r="A54" s="312"/>
      <c r="B54" s="372"/>
      <c r="C54" s="324"/>
      <c r="D54" s="312"/>
    </row>
    <row r="55" spans="1:33" ht="16" x14ac:dyDescent="0.2">
      <c r="A55" s="312"/>
      <c r="B55" s="373" t="s">
        <v>535</v>
      </c>
      <c r="C55" s="324"/>
      <c r="D55" s="312"/>
    </row>
    <row r="56" spans="1:33" ht="16" x14ac:dyDescent="0.2">
      <c r="A56" s="312"/>
      <c r="B56" s="373" t="s">
        <v>536</v>
      </c>
      <c r="C56" s="324"/>
      <c r="D56" s="312"/>
    </row>
    <row r="57" spans="1:33" ht="16" x14ac:dyDescent="0.2">
      <c r="A57" s="312"/>
      <c r="B57" s="373" t="s">
        <v>537</v>
      </c>
      <c r="C57" s="324"/>
      <c r="D57" s="312"/>
    </row>
    <row r="58" spans="1:33" ht="16" x14ac:dyDescent="0.2">
      <c r="A58" s="312"/>
      <c r="B58" s="373" t="s">
        <v>538</v>
      </c>
      <c r="C58" s="324"/>
      <c r="D58" s="312"/>
    </row>
    <row r="59" spans="1:33" ht="16" x14ac:dyDescent="0.2">
      <c r="A59" s="312"/>
      <c r="B59" s="373" t="s">
        <v>539</v>
      </c>
      <c r="C59" s="324"/>
      <c r="D59" s="312"/>
    </row>
    <row r="60" spans="1:33" ht="16" x14ac:dyDescent="0.2">
      <c r="A60" s="312"/>
      <c r="B60" s="373" t="s">
        <v>540</v>
      </c>
      <c r="C60" s="324"/>
      <c r="D60" s="312"/>
    </row>
    <row r="61" spans="1:33" ht="16" x14ac:dyDescent="0.2">
      <c r="A61" s="312"/>
      <c r="B61" s="373" t="s">
        <v>541</v>
      </c>
      <c r="C61" s="324"/>
      <c r="D61" s="312"/>
    </row>
    <row r="62" spans="1:33" ht="16" x14ac:dyDescent="0.2">
      <c r="A62" s="312"/>
      <c r="B62" s="373" t="s">
        <v>542</v>
      </c>
      <c r="C62" s="324"/>
      <c r="D62" s="312"/>
    </row>
    <row r="63" spans="1:33" ht="16" x14ac:dyDescent="0.2">
      <c r="A63" s="312"/>
      <c r="B63" s="373" t="s">
        <v>543</v>
      </c>
      <c r="C63" s="324"/>
      <c r="D63" s="312"/>
    </row>
    <row r="64" spans="1:33" ht="16" x14ac:dyDescent="0.2">
      <c r="A64" s="312"/>
      <c r="B64" s="373" t="s">
        <v>544</v>
      </c>
      <c r="C64" s="324"/>
      <c r="D64" s="312"/>
    </row>
    <row r="65" spans="1:33" s="358" customFormat="1" ht="16" x14ac:dyDescent="0.2">
      <c r="A65" s="312"/>
      <c r="B65" s="374"/>
      <c r="C65" s="324"/>
      <c r="D65" s="312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95"/>
      <c r="Y65" s="326"/>
      <c r="Z65" s="326"/>
      <c r="AA65" s="326"/>
      <c r="AB65" s="326"/>
      <c r="AC65" s="326"/>
      <c r="AD65" s="326"/>
      <c r="AE65" s="312"/>
      <c r="AF65" s="312"/>
      <c r="AG65" s="312"/>
    </row>
    <row r="66" spans="1:33" s="358" customFormat="1" ht="16" x14ac:dyDescent="0.2">
      <c r="A66" s="326"/>
      <c r="B66" s="374" t="s">
        <v>112</v>
      </c>
      <c r="C66" s="324"/>
      <c r="D66" s="312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95"/>
      <c r="Y66" s="326"/>
      <c r="Z66" s="326"/>
      <c r="AA66" s="326"/>
      <c r="AB66" s="326"/>
      <c r="AC66" s="326"/>
      <c r="AD66" s="326"/>
      <c r="AE66" s="312"/>
      <c r="AF66" s="312"/>
      <c r="AG66" s="312"/>
    </row>
    <row r="67" spans="1:33" s="358" customFormat="1" ht="16" x14ac:dyDescent="0.2">
      <c r="A67" s="326"/>
      <c r="B67" s="374" t="s">
        <v>113</v>
      </c>
      <c r="C67" s="324"/>
      <c r="D67" s="312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95"/>
      <c r="Y67" s="326"/>
      <c r="Z67" s="326"/>
      <c r="AA67" s="326"/>
      <c r="AB67" s="326"/>
      <c r="AC67" s="326"/>
      <c r="AD67" s="326"/>
      <c r="AE67" s="312"/>
      <c r="AF67" s="312"/>
      <c r="AG67" s="312"/>
    </row>
    <row r="68" spans="1:33" s="358" customFormat="1" ht="16" x14ac:dyDescent="0.2">
      <c r="A68" s="326"/>
      <c r="B68" s="371" t="s">
        <v>114</v>
      </c>
      <c r="C68" s="324"/>
      <c r="D68" s="312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95"/>
      <c r="Y68" s="326"/>
      <c r="Z68" s="326"/>
      <c r="AA68" s="326"/>
      <c r="AB68" s="326"/>
      <c r="AC68" s="326"/>
      <c r="AD68" s="326"/>
      <c r="AE68" s="312"/>
      <c r="AF68" s="312"/>
      <c r="AG68" s="312"/>
    </row>
    <row r="69" spans="1:33" s="358" customFormat="1" ht="16" x14ac:dyDescent="0.2">
      <c r="A69" s="326"/>
      <c r="B69" s="374" t="s">
        <v>25</v>
      </c>
      <c r="C69" s="324"/>
      <c r="D69" s="312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95"/>
      <c r="Y69" s="326"/>
      <c r="Z69" s="326"/>
      <c r="AA69" s="326"/>
      <c r="AB69" s="326"/>
      <c r="AC69" s="326"/>
      <c r="AD69" s="326"/>
      <c r="AE69" s="312"/>
      <c r="AF69" s="312"/>
      <c r="AG69" s="312"/>
    </row>
  </sheetData>
  <mergeCells count="34">
    <mergeCell ref="G17:H17"/>
    <mergeCell ref="I17:J17"/>
    <mergeCell ref="AB3:AB4"/>
    <mergeCell ref="AC3:AC4"/>
    <mergeCell ref="AD3:AD4"/>
    <mergeCell ref="P3:P4"/>
    <mergeCell ref="Q3:Q4"/>
    <mergeCell ref="R3:R4"/>
    <mergeCell ref="S3:S4"/>
    <mergeCell ref="T3:T4"/>
    <mergeCell ref="U3:U4"/>
    <mergeCell ref="G3:H3"/>
    <mergeCell ref="I3:J3"/>
    <mergeCell ref="K3:L3"/>
    <mergeCell ref="M3:M4"/>
    <mergeCell ref="N3:N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O3:O4"/>
    <mergeCell ref="G4:H4"/>
    <mergeCell ref="I4:J4"/>
    <mergeCell ref="A3:A4"/>
    <mergeCell ref="B3:B4"/>
    <mergeCell ref="C3:C4"/>
    <mergeCell ref="D3:D4"/>
    <mergeCell ref="E3:E4"/>
    <mergeCell ref="F3:F4"/>
  </mergeCells>
  <pageMargins left="0.51181102362204722" right="0.59055118110236227" top="0.82677165354330717" bottom="0" header="0.31496062992125984" footer="0.31496062992125984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AB24"/>
  <sheetViews>
    <sheetView zoomScale="80" zoomScaleNormal="80" workbookViewId="0">
      <pane ySplit="1" topLeftCell="A2" activePane="bottomLeft" state="frozen"/>
      <selection activeCell="C14" sqref="C14"/>
      <selection pane="bottomLeft" activeCell="A2" sqref="A2:A19"/>
    </sheetView>
  </sheetViews>
  <sheetFormatPr baseColWidth="10" defaultColWidth="9.1640625" defaultRowHeight="16" x14ac:dyDescent="0.2"/>
  <cols>
    <col min="1" max="1" width="7.5" style="199" customWidth="1"/>
    <col min="2" max="2" width="7" style="199" bestFit="1" customWidth="1"/>
    <col min="3" max="3" width="51.5" style="199" bestFit="1" customWidth="1"/>
    <col min="4" max="4" width="5.83203125" style="306" bestFit="1" customWidth="1"/>
    <col min="5" max="5" width="10.5" style="199" bestFit="1" customWidth="1"/>
    <col min="6" max="7" width="3.83203125" style="199" bestFit="1" customWidth="1"/>
    <col min="8" max="8" width="4.83203125" style="199" bestFit="1" customWidth="1"/>
    <col min="9" max="9" width="7" style="199" bestFit="1" customWidth="1"/>
    <col min="10" max="11" width="12.83203125" style="200" hidden="1" customWidth="1"/>
    <col min="12" max="12" width="9.83203125" style="201" customWidth="1"/>
    <col min="13" max="13" width="11.5" style="201" hidden="1" customWidth="1"/>
    <col min="14" max="14" width="9" style="202" customWidth="1"/>
    <col min="15" max="15" width="9" style="203" bestFit="1" customWidth="1"/>
    <col min="16" max="17" width="12.5" style="231" bestFit="1" customWidth="1"/>
    <col min="18" max="18" width="22.33203125" style="204" bestFit="1" customWidth="1"/>
    <col min="19" max="19" width="22.33203125" style="205" customWidth="1"/>
    <col min="20" max="20" width="10.33203125" style="204" customWidth="1"/>
    <col min="21" max="21" width="6.6640625" style="204" bestFit="1" customWidth="1"/>
    <col min="22" max="22" width="15.33203125" style="204" bestFit="1" customWidth="1"/>
    <col min="23" max="23" width="11" style="204" bestFit="1" customWidth="1"/>
    <col min="24" max="24" width="6.6640625" style="204" bestFit="1" customWidth="1"/>
    <col min="25" max="25" width="10.83203125" style="204" bestFit="1" customWidth="1"/>
    <col min="26" max="26" width="14.5" style="205" bestFit="1" customWidth="1"/>
    <col min="27" max="27" width="9.1640625" style="199" bestFit="1" customWidth="1"/>
    <col min="28" max="28" width="12" style="199" bestFit="1" customWidth="1"/>
    <col min="29" max="16384" width="9.1640625" style="199"/>
  </cols>
  <sheetData>
    <row r="1" spans="1:28" s="195" customFormat="1" ht="35.25" customHeight="1" x14ac:dyDescent="0.2">
      <c r="A1" s="206" t="s">
        <v>0</v>
      </c>
      <c r="B1" s="206" t="s">
        <v>75</v>
      </c>
      <c r="C1" s="206" t="s">
        <v>95</v>
      </c>
      <c r="D1" s="206" t="s">
        <v>50</v>
      </c>
      <c r="E1" s="206" t="s">
        <v>3</v>
      </c>
      <c r="F1" s="206" t="s">
        <v>4</v>
      </c>
      <c r="G1" s="206" t="s">
        <v>5</v>
      </c>
      <c r="H1" s="206" t="s">
        <v>51</v>
      </c>
      <c r="I1" s="206" t="s">
        <v>491</v>
      </c>
      <c r="J1" s="212" t="s">
        <v>8</v>
      </c>
      <c r="K1" s="213" t="s">
        <v>9</v>
      </c>
      <c r="L1" s="214" t="s">
        <v>10</v>
      </c>
      <c r="M1" s="214" t="s">
        <v>241</v>
      </c>
      <c r="N1" s="215" t="s">
        <v>11</v>
      </c>
      <c r="O1" s="216" t="s">
        <v>358</v>
      </c>
      <c r="P1" s="356" t="s">
        <v>13</v>
      </c>
      <c r="Q1" s="357" t="s">
        <v>14</v>
      </c>
      <c r="R1" s="357" t="s">
        <v>15</v>
      </c>
      <c r="S1" s="357" t="s">
        <v>16</v>
      </c>
      <c r="T1" s="357" t="s">
        <v>17</v>
      </c>
      <c r="U1" s="357" t="s">
        <v>18</v>
      </c>
      <c r="V1" s="357" t="s">
        <v>19</v>
      </c>
      <c r="W1" s="357" t="s">
        <v>20</v>
      </c>
      <c r="X1" s="357" t="s">
        <v>18</v>
      </c>
      <c r="Y1" s="357" t="s">
        <v>21</v>
      </c>
      <c r="Z1" s="357" t="s">
        <v>22</v>
      </c>
      <c r="AA1" s="357" t="s">
        <v>89</v>
      </c>
      <c r="AB1" s="357" t="s">
        <v>438</v>
      </c>
    </row>
    <row r="2" spans="1:28" s="196" customFormat="1" ht="17" x14ac:dyDescent="0.2">
      <c r="A2" s="207">
        <v>1</v>
      </c>
      <c r="B2" s="207" t="s">
        <v>96</v>
      </c>
      <c r="C2" s="208" t="s">
        <v>492</v>
      </c>
      <c r="D2" s="233" t="s">
        <v>30</v>
      </c>
      <c r="E2" s="207" t="s">
        <v>27</v>
      </c>
      <c r="F2" s="207">
        <v>40</v>
      </c>
      <c r="G2" s="207">
        <v>20</v>
      </c>
      <c r="H2" s="207">
        <v>1</v>
      </c>
      <c r="I2" s="207">
        <f t="shared" ref="I2:I19" si="0">F2*G2</f>
        <v>800</v>
      </c>
      <c r="J2" s="217">
        <v>20.714410999999998</v>
      </c>
      <c r="K2" s="218">
        <v>77.009050000000002</v>
      </c>
      <c r="L2" s="219">
        <f>30*I2</f>
        <v>24000</v>
      </c>
      <c r="M2" s="219">
        <f t="shared" ref="M2:M19" si="1">I2*20</f>
        <v>16000</v>
      </c>
      <c r="N2" s="220">
        <f>I2*35</f>
        <v>28000</v>
      </c>
      <c r="O2" s="221">
        <f>I2*40</f>
        <v>32000</v>
      </c>
      <c r="P2" s="217"/>
      <c r="Q2" s="207"/>
      <c r="R2" s="237" t="s">
        <v>91</v>
      </c>
      <c r="S2" s="191" t="s">
        <v>91</v>
      </c>
      <c r="T2" s="192"/>
      <c r="U2" s="172"/>
      <c r="V2" s="170"/>
      <c r="W2" s="173"/>
      <c r="X2" s="170"/>
      <c r="Y2" s="170"/>
      <c r="Z2" s="235"/>
      <c r="AA2" s="207"/>
      <c r="AB2" s="236"/>
    </row>
    <row r="3" spans="1:28" s="196" customFormat="1" ht="17" x14ac:dyDescent="0.2">
      <c r="A3" s="207">
        <v>2</v>
      </c>
      <c r="B3" s="207" t="s">
        <v>96</v>
      </c>
      <c r="C3" s="208" t="s">
        <v>492</v>
      </c>
      <c r="D3" s="233" t="s">
        <v>30</v>
      </c>
      <c r="E3" s="207" t="s">
        <v>27</v>
      </c>
      <c r="F3" s="207">
        <v>20</v>
      </c>
      <c r="G3" s="207">
        <v>20</v>
      </c>
      <c r="H3" s="207">
        <v>1</v>
      </c>
      <c r="I3" s="207">
        <f t="shared" si="0"/>
        <v>400</v>
      </c>
      <c r="J3" s="217">
        <v>20.714410999999998</v>
      </c>
      <c r="K3" s="218">
        <v>77.009050000000002</v>
      </c>
      <c r="L3" s="219">
        <f t="shared" ref="L3:L20" si="2">30*I3</f>
        <v>12000</v>
      </c>
      <c r="M3" s="219">
        <f t="shared" si="1"/>
        <v>8000</v>
      </c>
      <c r="N3" s="220">
        <f t="shared" ref="N3:N20" si="3">I3*35</f>
        <v>14000</v>
      </c>
      <c r="O3" s="221">
        <f t="shared" ref="O3:O20" si="4">I3*40</f>
        <v>16000</v>
      </c>
      <c r="P3" s="217"/>
      <c r="Q3" s="217"/>
      <c r="R3" s="237" t="s">
        <v>91</v>
      </c>
      <c r="S3" s="191" t="s">
        <v>91</v>
      </c>
      <c r="T3" s="192"/>
      <c r="U3" s="172"/>
      <c r="V3" s="173"/>
      <c r="W3" s="173"/>
      <c r="X3" s="173"/>
      <c r="Y3" s="207"/>
      <c r="Z3" s="233"/>
      <c r="AA3" s="222"/>
      <c r="AB3" s="222"/>
    </row>
    <row r="4" spans="1:28" s="196" customFormat="1" ht="17" x14ac:dyDescent="0.2">
      <c r="A4" s="207">
        <v>3</v>
      </c>
      <c r="B4" s="207" t="s">
        <v>96</v>
      </c>
      <c r="C4" s="208" t="s">
        <v>493</v>
      </c>
      <c r="D4" s="233" t="s">
        <v>30</v>
      </c>
      <c r="E4" s="207" t="s">
        <v>27</v>
      </c>
      <c r="F4" s="207">
        <v>20</v>
      </c>
      <c r="G4" s="207">
        <v>20</v>
      </c>
      <c r="H4" s="207">
        <v>1</v>
      </c>
      <c r="I4" s="207">
        <f t="shared" si="0"/>
        <v>400</v>
      </c>
      <c r="J4" s="217">
        <v>20.711735000000001</v>
      </c>
      <c r="K4" s="217">
        <v>77.009392000000005</v>
      </c>
      <c r="L4" s="219">
        <f t="shared" si="2"/>
        <v>12000</v>
      </c>
      <c r="M4" s="219">
        <f t="shared" si="1"/>
        <v>8000</v>
      </c>
      <c r="N4" s="220">
        <f t="shared" si="3"/>
        <v>14000</v>
      </c>
      <c r="O4" s="221">
        <f t="shared" si="4"/>
        <v>16000</v>
      </c>
      <c r="P4" s="207"/>
      <c r="Q4" s="217"/>
      <c r="R4" s="237" t="s">
        <v>91</v>
      </c>
      <c r="S4" s="191" t="s">
        <v>91</v>
      </c>
      <c r="T4" s="192"/>
      <c r="U4" s="172"/>
      <c r="V4" s="170"/>
      <c r="W4" s="173"/>
      <c r="X4" s="170"/>
      <c r="Y4" s="170"/>
      <c r="Z4" s="191"/>
      <c r="AA4" s="222"/>
      <c r="AB4" s="222"/>
    </row>
    <row r="5" spans="1:28" s="196" customFormat="1" ht="17" x14ac:dyDescent="0.2">
      <c r="A5" s="207">
        <v>4</v>
      </c>
      <c r="B5" s="207" t="s">
        <v>96</v>
      </c>
      <c r="C5" s="471" t="s">
        <v>494</v>
      </c>
      <c r="D5" s="233" t="s">
        <v>30</v>
      </c>
      <c r="E5" s="207" t="s">
        <v>27</v>
      </c>
      <c r="F5" s="207">
        <v>30</v>
      </c>
      <c r="G5" s="207">
        <v>20</v>
      </c>
      <c r="H5" s="207">
        <v>1</v>
      </c>
      <c r="I5" s="207">
        <f t="shared" si="0"/>
        <v>600</v>
      </c>
      <c r="J5" s="217">
        <v>20.711735000000001</v>
      </c>
      <c r="K5" s="217">
        <v>77.009392000000005</v>
      </c>
      <c r="L5" s="219">
        <f t="shared" si="2"/>
        <v>18000</v>
      </c>
      <c r="M5" s="219">
        <f t="shared" si="1"/>
        <v>12000</v>
      </c>
      <c r="N5" s="220">
        <f t="shared" si="3"/>
        <v>21000</v>
      </c>
      <c r="O5" s="221">
        <f t="shared" si="4"/>
        <v>24000</v>
      </c>
      <c r="P5" s="217"/>
      <c r="Q5" s="217"/>
      <c r="R5" s="225" t="s">
        <v>253</v>
      </c>
      <c r="S5" s="225" t="s">
        <v>253</v>
      </c>
      <c r="T5" s="192"/>
      <c r="U5" s="172"/>
      <c r="V5" s="173"/>
      <c r="W5" s="170"/>
      <c r="X5" s="170"/>
      <c r="Y5" s="170"/>
      <c r="Z5" s="222"/>
      <c r="AA5" s="235"/>
      <c r="AB5" s="207"/>
    </row>
    <row r="6" spans="1:28" s="196" customFormat="1" ht="30.75" customHeight="1" x14ac:dyDescent="0.2">
      <c r="A6" s="207">
        <v>5</v>
      </c>
      <c r="B6" s="207" t="s">
        <v>96</v>
      </c>
      <c r="C6" s="208" t="s">
        <v>496</v>
      </c>
      <c r="D6" s="233" t="s">
        <v>30</v>
      </c>
      <c r="E6" s="207" t="s">
        <v>27</v>
      </c>
      <c r="F6" s="207">
        <v>40</v>
      </c>
      <c r="G6" s="207">
        <v>20</v>
      </c>
      <c r="H6" s="207">
        <v>1</v>
      </c>
      <c r="I6" s="207">
        <f t="shared" si="0"/>
        <v>800</v>
      </c>
      <c r="J6" s="217">
        <v>20.702961999999999</v>
      </c>
      <c r="K6" s="217">
        <v>77.002731999999995</v>
      </c>
      <c r="L6" s="219">
        <f t="shared" si="2"/>
        <v>24000</v>
      </c>
      <c r="M6" s="219">
        <f t="shared" si="1"/>
        <v>16000</v>
      </c>
      <c r="N6" s="220">
        <f t="shared" si="3"/>
        <v>28000</v>
      </c>
      <c r="O6" s="221">
        <f t="shared" si="4"/>
        <v>32000</v>
      </c>
      <c r="P6" s="207"/>
      <c r="Q6" s="207"/>
      <c r="R6" s="237" t="s">
        <v>91</v>
      </c>
      <c r="S6" s="191" t="s">
        <v>91</v>
      </c>
      <c r="T6" s="192"/>
      <c r="U6" s="172"/>
      <c r="V6" s="193"/>
      <c r="W6" s="313"/>
      <c r="Y6" s="207"/>
      <c r="Z6" s="233"/>
      <c r="AA6" s="222"/>
      <c r="AB6" s="236"/>
    </row>
    <row r="7" spans="1:28" s="196" customFormat="1" ht="17" x14ac:dyDescent="0.2">
      <c r="A7" s="207">
        <v>6</v>
      </c>
      <c r="B7" s="207" t="s">
        <v>96</v>
      </c>
      <c r="C7" s="208" t="s">
        <v>495</v>
      </c>
      <c r="D7" s="233" t="s">
        <v>30</v>
      </c>
      <c r="E7" s="207" t="s">
        <v>27</v>
      </c>
      <c r="F7" s="207">
        <v>40</v>
      </c>
      <c r="G7" s="207">
        <v>20</v>
      </c>
      <c r="H7" s="207">
        <v>1</v>
      </c>
      <c r="I7" s="207">
        <f t="shared" si="0"/>
        <v>800</v>
      </c>
      <c r="J7" s="217">
        <v>20.702846000000001</v>
      </c>
      <c r="K7" s="217">
        <v>77.003440999999995</v>
      </c>
      <c r="L7" s="219">
        <f t="shared" si="2"/>
        <v>24000</v>
      </c>
      <c r="M7" s="219">
        <f t="shared" si="1"/>
        <v>16000</v>
      </c>
      <c r="N7" s="220">
        <f t="shared" si="3"/>
        <v>28000</v>
      </c>
      <c r="O7" s="221">
        <f t="shared" si="4"/>
        <v>32000</v>
      </c>
      <c r="P7" s="217"/>
      <c r="Q7" s="207"/>
      <c r="R7" s="237" t="s">
        <v>91</v>
      </c>
      <c r="S7" s="191" t="s">
        <v>91</v>
      </c>
      <c r="T7" s="192"/>
      <c r="U7" s="172"/>
      <c r="V7" s="170"/>
      <c r="W7" s="170"/>
      <c r="X7" s="170"/>
      <c r="Y7" s="207"/>
      <c r="Z7" s="191"/>
      <c r="AA7" s="222"/>
      <c r="AB7" s="222"/>
    </row>
    <row r="8" spans="1:28" s="196" customFormat="1" ht="17" x14ac:dyDescent="0.2">
      <c r="A8" s="207">
        <v>7</v>
      </c>
      <c r="B8" s="207" t="s">
        <v>96</v>
      </c>
      <c r="C8" s="208" t="s">
        <v>497</v>
      </c>
      <c r="D8" s="233" t="s">
        <v>30</v>
      </c>
      <c r="E8" s="207" t="s">
        <v>27</v>
      </c>
      <c r="F8" s="207">
        <v>60</v>
      </c>
      <c r="G8" s="207">
        <v>20</v>
      </c>
      <c r="H8" s="207">
        <v>1</v>
      </c>
      <c r="I8" s="207">
        <f t="shared" si="0"/>
        <v>1200</v>
      </c>
      <c r="J8" s="218">
        <v>20.710356999999998</v>
      </c>
      <c r="K8" s="217">
        <v>77.000671999999994</v>
      </c>
      <c r="L8" s="219">
        <f t="shared" si="2"/>
        <v>36000</v>
      </c>
      <c r="M8" s="219">
        <f t="shared" si="1"/>
        <v>24000</v>
      </c>
      <c r="N8" s="220">
        <f t="shared" si="3"/>
        <v>42000</v>
      </c>
      <c r="O8" s="221">
        <f t="shared" si="4"/>
        <v>48000</v>
      </c>
      <c r="P8" s="207"/>
      <c r="Q8" s="207"/>
      <c r="R8" s="237" t="s">
        <v>91</v>
      </c>
      <c r="S8" s="191" t="s">
        <v>91</v>
      </c>
      <c r="T8" s="192"/>
      <c r="U8" s="172"/>
      <c r="V8" s="170"/>
      <c r="W8" s="170"/>
      <c r="X8" s="170"/>
      <c r="Y8" s="170"/>
      <c r="Z8" s="191"/>
      <c r="AA8" s="207"/>
      <c r="AB8" s="207"/>
    </row>
    <row r="9" spans="1:28" s="196" customFormat="1" ht="17" x14ac:dyDescent="0.2">
      <c r="A9" s="207">
        <v>8</v>
      </c>
      <c r="B9" s="207" t="s">
        <v>96</v>
      </c>
      <c r="C9" s="208" t="s">
        <v>498</v>
      </c>
      <c r="D9" s="233" t="s">
        <v>30</v>
      </c>
      <c r="E9" s="207" t="s">
        <v>27</v>
      </c>
      <c r="F9" s="207">
        <v>20</v>
      </c>
      <c r="G9" s="207">
        <v>20</v>
      </c>
      <c r="H9" s="207">
        <v>1</v>
      </c>
      <c r="I9" s="207">
        <f t="shared" si="0"/>
        <v>400</v>
      </c>
      <c r="J9" s="218">
        <v>20.710356999999998</v>
      </c>
      <c r="K9" s="217">
        <v>77.000671999999994</v>
      </c>
      <c r="L9" s="219">
        <f t="shared" si="2"/>
        <v>12000</v>
      </c>
      <c r="M9" s="219">
        <f t="shared" si="1"/>
        <v>8000</v>
      </c>
      <c r="N9" s="220">
        <f t="shared" si="3"/>
        <v>14000</v>
      </c>
      <c r="O9" s="221">
        <f t="shared" si="4"/>
        <v>16000</v>
      </c>
      <c r="P9" s="222"/>
      <c r="Q9" s="207"/>
      <c r="R9" s="237" t="s">
        <v>91</v>
      </c>
      <c r="S9" s="191" t="s">
        <v>91</v>
      </c>
      <c r="T9" s="222"/>
      <c r="U9" s="222"/>
      <c r="V9" s="170"/>
      <c r="W9" s="173"/>
      <c r="X9" s="170"/>
      <c r="Y9" s="170"/>
      <c r="Z9" s="191"/>
      <c r="AA9" s="222"/>
      <c r="AB9" s="207"/>
    </row>
    <row r="10" spans="1:28" s="196" customFormat="1" ht="17" x14ac:dyDescent="0.2">
      <c r="A10" s="207">
        <v>9</v>
      </c>
      <c r="B10" s="207" t="s">
        <v>96</v>
      </c>
      <c r="C10" s="208" t="s">
        <v>499</v>
      </c>
      <c r="D10" s="233" t="s">
        <v>30</v>
      </c>
      <c r="E10" s="207" t="s">
        <v>27</v>
      </c>
      <c r="F10" s="207">
        <v>40</v>
      </c>
      <c r="G10" s="207">
        <v>20</v>
      </c>
      <c r="H10" s="207">
        <v>1</v>
      </c>
      <c r="I10" s="207">
        <f t="shared" si="0"/>
        <v>800</v>
      </c>
      <c r="J10" s="217">
        <v>20.707467999999999</v>
      </c>
      <c r="K10" s="217">
        <v>76.998262999999994</v>
      </c>
      <c r="L10" s="219">
        <f t="shared" si="2"/>
        <v>24000</v>
      </c>
      <c r="M10" s="219">
        <f t="shared" si="1"/>
        <v>16000</v>
      </c>
      <c r="N10" s="220">
        <f t="shared" si="3"/>
        <v>28000</v>
      </c>
      <c r="O10" s="221">
        <f t="shared" si="4"/>
        <v>32000</v>
      </c>
      <c r="P10" s="207"/>
      <c r="Q10" s="217"/>
      <c r="R10" s="225" t="s">
        <v>253</v>
      </c>
      <c r="S10" s="225" t="s">
        <v>253</v>
      </c>
      <c r="T10" s="192"/>
      <c r="U10" s="172"/>
      <c r="V10" s="170"/>
      <c r="W10" s="170"/>
      <c r="X10" s="170"/>
      <c r="Y10" s="222"/>
      <c r="Z10" s="191"/>
      <c r="AA10" s="170"/>
      <c r="AB10" s="207"/>
    </row>
    <row r="11" spans="1:28" s="196" customFormat="1" ht="17" x14ac:dyDescent="0.2">
      <c r="A11" s="207">
        <v>10</v>
      </c>
      <c r="B11" s="207" t="s">
        <v>96</v>
      </c>
      <c r="C11" s="208" t="s">
        <v>500</v>
      </c>
      <c r="D11" s="233" t="s">
        <v>30</v>
      </c>
      <c r="E11" s="207" t="s">
        <v>27</v>
      </c>
      <c r="F11" s="207">
        <v>40</v>
      </c>
      <c r="G11" s="207">
        <v>20</v>
      </c>
      <c r="H11" s="207">
        <v>1</v>
      </c>
      <c r="I11" s="207">
        <f t="shared" si="0"/>
        <v>800</v>
      </c>
      <c r="J11" s="217">
        <v>20.707467999999999</v>
      </c>
      <c r="K11" s="217">
        <v>76.998262999999994</v>
      </c>
      <c r="L11" s="219">
        <f t="shared" si="2"/>
        <v>24000</v>
      </c>
      <c r="M11" s="219">
        <f t="shared" si="1"/>
        <v>16000</v>
      </c>
      <c r="N11" s="220">
        <f t="shared" si="3"/>
        <v>28000</v>
      </c>
      <c r="O11" s="221">
        <f t="shared" si="4"/>
        <v>32000</v>
      </c>
      <c r="P11" s="207"/>
      <c r="Q11" s="217"/>
      <c r="R11" s="225" t="s">
        <v>253</v>
      </c>
      <c r="S11" s="225" t="s">
        <v>253</v>
      </c>
      <c r="T11" s="192"/>
      <c r="U11" s="172"/>
      <c r="V11" s="211"/>
      <c r="W11" s="222"/>
      <c r="X11" s="207"/>
      <c r="Y11" s="222"/>
      <c r="Z11" s="207"/>
      <c r="AA11" s="222"/>
      <c r="AB11" s="207"/>
    </row>
    <row r="12" spans="1:28" s="196" customFormat="1" ht="17" x14ac:dyDescent="0.2">
      <c r="A12" s="207">
        <v>11</v>
      </c>
      <c r="B12" s="207" t="s">
        <v>96</v>
      </c>
      <c r="C12" s="208" t="s">
        <v>501</v>
      </c>
      <c r="D12" s="233" t="s">
        <v>30</v>
      </c>
      <c r="E12" s="207" t="s">
        <v>27</v>
      </c>
      <c r="F12" s="207">
        <v>20</v>
      </c>
      <c r="G12" s="207">
        <v>20</v>
      </c>
      <c r="H12" s="207">
        <v>1</v>
      </c>
      <c r="I12" s="207">
        <f t="shared" si="0"/>
        <v>400</v>
      </c>
      <c r="J12" s="217">
        <v>20.707929</v>
      </c>
      <c r="K12" s="217">
        <v>76.994433000000001</v>
      </c>
      <c r="L12" s="219">
        <f t="shared" si="2"/>
        <v>12000</v>
      </c>
      <c r="M12" s="219">
        <f t="shared" si="1"/>
        <v>8000</v>
      </c>
      <c r="N12" s="220">
        <f t="shared" si="3"/>
        <v>14000</v>
      </c>
      <c r="O12" s="221">
        <f t="shared" si="4"/>
        <v>16000</v>
      </c>
      <c r="P12" s="217"/>
      <c r="Q12" s="207"/>
      <c r="R12" s="225" t="s">
        <v>253</v>
      </c>
      <c r="S12" s="225" t="s">
        <v>253</v>
      </c>
      <c r="T12" s="192"/>
      <c r="U12" s="172"/>
      <c r="V12" s="266"/>
      <c r="W12" s="170"/>
      <c r="X12" s="170"/>
      <c r="Z12" s="222"/>
      <c r="AA12" s="222"/>
      <c r="AB12" s="236"/>
    </row>
    <row r="13" spans="1:28" s="196" customFormat="1" ht="17" x14ac:dyDescent="0.2">
      <c r="A13" s="207">
        <v>12</v>
      </c>
      <c r="B13" s="207" t="s">
        <v>96</v>
      </c>
      <c r="C13" s="208" t="s">
        <v>502</v>
      </c>
      <c r="D13" s="233" t="s">
        <v>30</v>
      </c>
      <c r="E13" s="207" t="s">
        <v>27</v>
      </c>
      <c r="F13" s="207">
        <v>20</v>
      </c>
      <c r="G13" s="207">
        <v>10</v>
      </c>
      <c r="H13" s="207">
        <v>1</v>
      </c>
      <c r="I13" s="207">
        <f t="shared" si="0"/>
        <v>200</v>
      </c>
      <c r="J13" s="217">
        <v>20.705421999999999</v>
      </c>
      <c r="K13" s="217">
        <v>77.008696999999998</v>
      </c>
      <c r="L13" s="219">
        <f t="shared" si="2"/>
        <v>6000</v>
      </c>
      <c r="M13" s="219">
        <f t="shared" si="1"/>
        <v>4000</v>
      </c>
      <c r="N13" s="220">
        <f t="shared" si="3"/>
        <v>7000</v>
      </c>
      <c r="O13" s="221">
        <f t="shared" si="4"/>
        <v>8000</v>
      </c>
      <c r="P13" s="207" t="s">
        <v>244</v>
      </c>
      <c r="Q13" s="217" t="s">
        <v>397</v>
      </c>
      <c r="R13" s="273" t="s">
        <v>98</v>
      </c>
      <c r="S13" s="273" t="s">
        <v>99</v>
      </c>
      <c r="T13" s="192">
        <v>44927</v>
      </c>
      <c r="U13" s="172" t="s">
        <v>245</v>
      </c>
      <c r="V13" s="193" t="s">
        <v>93</v>
      </c>
      <c r="W13" s="222"/>
      <c r="X13" s="207"/>
      <c r="Y13" s="207"/>
      <c r="Z13" s="207"/>
      <c r="AA13" s="222"/>
      <c r="AB13" s="222"/>
    </row>
    <row r="14" spans="1:28" s="196" customFormat="1" ht="17" x14ac:dyDescent="0.2">
      <c r="A14" s="207">
        <v>13</v>
      </c>
      <c r="B14" s="207" t="s">
        <v>96</v>
      </c>
      <c r="C14" s="208" t="s">
        <v>503</v>
      </c>
      <c r="D14" s="233" t="s">
        <v>30</v>
      </c>
      <c r="E14" s="207" t="s">
        <v>27</v>
      </c>
      <c r="F14" s="207">
        <v>20</v>
      </c>
      <c r="G14" s="207">
        <v>10</v>
      </c>
      <c r="H14" s="207">
        <v>1</v>
      </c>
      <c r="I14" s="207">
        <f t="shared" si="0"/>
        <v>200</v>
      </c>
      <c r="J14" s="217">
        <v>20.705507000000001</v>
      </c>
      <c r="K14" s="223" t="s">
        <v>100</v>
      </c>
      <c r="L14" s="219">
        <f t="shared" si="2"/>
        <v>6000</v>
      </c>
      <c r="M14" s="219">
        <f t="shared" si="1"/>
        <v>4000</v>
      </c>
      <c r="N14" s="220">
        <f t="shared" si="3"/>
        <v>7000</v>
      </c>
      <c r="O14" s="221">
        <f t="shared" si="4"/>
        <v>8000</v>
      </c>
      <c r="P14" s="207" t="s">
        <v>97</v>
      </c>
      <c r="Q14" s="217" t="s">
        <v>357</v>
      </c>
      <c r="R14" s="234" t="s">
        <v>98</v>
      </c>
      <c r="S14" s="234" t="s">
        <v>99</v>
      </c>
      <c r="T14" s="192">
        <v>44927</v>
      </c>
      <c r="U14" s="172" t="s">
        <v>245</v>
      </c>
      <c r="V14" s="193" t="s">
        <v>93</v>
      </c>
      <c r="W14" s="222"/>
      <c r="X14" s="207"/>
      <c r="Y14" s="207"/>
      <c r="Z14" s="207"/>
      <c r="AA14" s="222"/>
      <c r="AB14" s="222" t="s">
        <v>101</v>
      </c>
    </row>
    <row r="15" spans="1:28" s="196" customFormat="1" ht="17" x14ac:dyDescent="0.2">
      <c r="A15" s="207">
        <v>14</v>
      </c>
      <c r="B15" s="207" t="s">
        <v>96</v>
      </c>
      <c r="C15" s="208" t="s">
        <v>504</v>
      </c>
      <c r="D15" s="233" t="s">
        <v>30</v>
      </c>
      <c r="E15" s="207" t="s">
        <v>27</v>
      </c>
      <c r="F15" s="207">
        <v>20</v>
      </c>
      <c r="G15" s="207">
        <v>10</v>
      </c>
      <c r="H15" s="207">
        <v>1</v>
      </c>
      <c r="I15" s="207">
        <f t="shared" si="0"/>
        <v>200</v>
      </c>
      <c r="J15" s="217">
        <v>20.705532999999999</v>
      </c>
      <c r="K15" s="217">
        <v>77.006922000000003</v>
      </c>
      <c r="L15" s="219">
        <f t="shared" si="2"/>
        <v>6000</v>
      </c>
      <c r="M15" s="219">
        <f t="shared" si="1"/>
        <v>4000</v>
      </c>
      <c r="N15" s="220">
        <f t="shared" si="3"/>
        <v>7000</v>
      </c>
      <c r="O15" s="221">
        <f t="shared" si="4"/>
        <v>8000</v>
      </c>
      <c r="P15" s="207" t="s">
        <v>97</v>
      </c>
      <c r="Q15" s="217" t="s">
        <v>357</v>
      </c>
      <c r="R15" s="234" t="s">
        <v>98</v>
      </c>
      <c r="S15" s="234" t="s">
        <v>99</v>
      </c>
      <c r="T15" s="192">
        <v>44927</v>
      </c>
      <c r="U15" s="172" t="s">
        <v>245</v>
      </c>
      <c r="V15" s="193" t="s">
        <v>93</v>
      </c>
      <c r="W15" s="222"/>
      <c r="X15" s="191"/>
      <c r="Y15" s="173"/>
      <c r="Z15" s="171"/>
      <c r="AA15" s="222"/>
      <c r="AB15" s="236"/>
    </row>
    <row r="16" spans="1:28" s="196" customFormat="1" ht="17" x14ac:dyDescent="0.2">
      <c r="A16" s="207">
        <v>15</v>
      </c>
      <c r="B16" s="207" t="s">
        <v>96</v>
      </c>
      <c r="C16" s="208" t="s">
        <v>505</v>
      </c>
      <c r="D16" s="233" t="s">
        <v>30</v>
      </c>
      <c r="E16" s="207" t="s">
        <v>27</v>
      </c>
      <c r="F16" s="207">
        <v>20</v>
      </c>
      <c r="G16" s="207">
        <v>10</v>
      </c>
      <c r="H16" s="207">
        <v>1</v>
      </c>
      <c r="I16" s="207">
        <f t="shared" si="0"/>
        <v>200</v>
      </c>
      <c r="J16" s="217">
        <v>20.715202000000001</v>
      </c>
      <c r="K16" s="217">
        <v>77.005242999999993</v>
      </c>
      <c r="L16" s="219">
        <f t="shared" si="2"/>
        <v>6000</v>
      </c>
      <c r="M16" s="219">
        <f t="shared" si="1"/>
        <v>4000</v>
      </c>
      <c r="N16" s="220">
        <f t="shared" si="3"/>
        <v>7000</v>
      </c>
      <c r="O16" s="221">
        <f t="shared" si="4"/>
        <v>8000</v>
      </c>
      <c r="P16" s="217" t="s">
        <v>254</v>
      </c>
      <c r="Q16" s="207" t="s">
        <v>394</v>
      </c>
      <c r="R16" s="281" t="s">
        <v>98</v>
      </c>
      <c r="S16" s="281" t="s">
        <v>99</v>
      </c>
      <c r="T16" s="192">
        <v>44927</v>
      </c>
      <c r="U16" s="172" t="s">
        <v>245</v>
      </c>
      <c r="V16" s="193" t="s">
        <v>93</v>
      </c>
      <c r="W16" s="170"/>
      <c r="X16" s="170"/>
      <c r="Y16" s="170"/>
      <c r="Z16" s="207"/>
      <c r="AA16" s="222"/>
      <c r="AB16" s="222"/>
    </row>
    <row r="17" spans="1:28" s="196" customFormat="1" ht="17" x14ac:dyDescent="0.2">
      <c r="A17" s="207">
        <v>16</v>
      </c>
      <c r="B17" s="207" t="s">
        <v>96</v>
      </c>
      <c r="C17" s="208" t="s">
        <v>102</v>
      </c>
      <c r="D17" s="233" t="s">
        <v>30</v>
      </c>
      <c r="E17" s="207" t="s">
        <v>27</v>
      </c>
      <c r="F17" s="207">
        <v>20</v>
      </c>
      <c r="G17" s="207">
        <v>10</v>
      </c>
      <c r="H17" s="207">
        <v>1</v>
      </c>
      <c r="I17" s="207">
        <f t="shared" si="0"/>
        <v>200</v>
      </c>
      <c r="J17" s="223" t="s">
        <v>103</v>
      </c>
      <c r="K17" s="217">
        <v>77.008015</v>
      </c>
      <c r="L17" s="219">
        <f t="shared" si="2"/>
        <v>6000</v>
      </c>
      <c r="M17" s="219">
        <f t="shared" si="1"/>
        <v>4000</v>
      </c>
      <c r="N17" s="220">
        <f t="shared" si="3"/>
        <v>7000</v>
      </c>
      <c r="O17" s="221">
        <f t="shared" si="4"/>
        <v>8000</v>
      </c>
      <c r="P17" s="207" t="s">
        <v>97</v>
      </c>
      <c r="Q17" s="217" t="s">
        <v>357</v>
      </c>
      <c r="R17" s="234" t="s">
        <v>98</v>
      </c>
      <c r="S17" s="234" t="s">
        <v>99</v>
      </c>
      <c r="T17" s="192">
        <v>44927</v>
      </c>
      <c r="U17" s="172" t="s">
        <v>245</v>
      </c>
      <c r="V17" s="193" t="s">
        <v>93</v>
      </c>
      <c r="W17" s="222"/>
      <c r="X17" s="222"/>
      <c r="Y17" s="222"/>
      <c r="Z17" s="222"/>
      <c r="AA17" s="222"/>
      <c r="AB17" s="222"/>
    </row>
    <row r="18" spans="1:28" s="196" customFormat="1" ht="17" x14ac:dyDescent="0.2">
      <c r="A18" s="207">
        <v>17</v>
      </c>
      <c r="B18" s="207" t="s">
        <v>96</v>
      </c>
      <c r="C18" s="208" t="s">
        <v>506</v>
      </c>
      <c r="D18" s="233" t="s">
        <v>30</v>
      </c>
      <c r="E18" s="207" t="s">
        <v>27</v>
      </c>
      <c r="F18" s="207">
        <v>20</v>
      </c>
      <c r="G18" s="207">
        <v>10</v>
      </c>
      <c r="H18" s="207">
        <v>1</v>
      </c>
      <c r="I18" s="207">
        <f t="shared" si="0"/>
        <v>200</v>
      </c>
      <c r="J18" s="217">
        <v>20.703309000000001</v>
      </c>
      <c r="K18" s="217">
        <v>76.998312999999996</v>
      </c>
      <c r="L18" s="219">
        <f t="shared" si="2"/>
        <v>6000</v>
      </c>
      <c r="M18" s="219">
        <f t="shared" si="1"/>
        <v>4000</v>
      </c>
      <c r="N18" s="220">
        <f t="shared" si="3"/>
        <v>7000</v>
      </c>
      <c r="O18" s="221">
        <f t="shared" si="4"/>
        <v>8000</v>
      </c>
      <c r="P18" s="217" t="s">
        <v>254</v>
      </c>
      <c r="Q18" s="207" t="s">
        <v>394</v>
      </c>
      <c r="R18" s="281" t="s">
        <v>98</v>
      </c>
      <c r="S18" s="281" t="s">
        <v>99</v>
      </c>
      <c r="T18" s="192">
        <v>44927</v>
      </c>
      <c r="U18" s="172" t="s">
        <v>245</v>
      </c>
      <c r="V18" s="193" t="s">
        <v>93</v>
      </c>
      <c r="W18" s="222"/>
      <c r="X18" s="170"/>
      <c r="Y18" s="207"/>
      <c r="Z18" s="191"/>
      <c r="AA18" s="222"/>
      <c r="AB18" s="222" t="s">
        <v>101</v>
      </c>
    </row>
    <row r="19" spans="1:28" s="196" customFormat="1" ht="17" x14ac:dyDescent="0.2">
      <c r="A19" s="207">
        <v>18</v>
      </c>
      <c r="B19" s="207" t="s">
        <v>96</v>
      </c>
      <c r="C19" s="208" t="s">
        <v>242</v>
      </c>
      <c r="D19" s="233" t="s">
        <v>30</v>
      </c>
      <c r="E19" s="207" t="s">
        <v>27</v>
      </c>
      <c r="F19" s="207">
        <v>20</v>
      </c>
      <c r="G19" s="207">
        <v>10</v>
      </c>
      <c r="H19" s="207">
        <v>1</v>
      </c>
      <c r="I19" s="207">
        <f t="shared" si="0"/>
        <v>200</v>
      </c>
      <c r="J19" s="217">
        <v>20.703213999999999</v>
      </c>
      <c r="K19" s="217">
        <v>76.998705999999999</v>
      </c>
      <c r="L19" s="219">
        <f t="shared" si="2"/>
        <v>6000</v>
      </c>
      <c r="M19" s="219">
        <f t="shared" si="1"/>
        <v>4000</v>
      </c>
      <c r="N19" s="220">
        <f t="shared" si="3"/>
        <v>7000</v>
      </c>
      <c r="O19" s="221">
        <f t="shared" si="4"/>
        <v>8000</v>
      </c>
      <c r="P19" s="207" t="s">
        <v>247</v>
      </c>
      <c r="Q19" s="217" t="s">
        <v>357</v>
      </c>
      <c r="R19" s="234" t="s">
        <v>98</v>
      </c>
      <c r="S19" s="234" t="s">
        <v>99</v>
      </c>
      <c r="T19" s="192">
        <v>44927</v>
      </c>
      <c r="U19" s="172" t="s">
        <v>245</v>
      </c>
      <c r="V19" s="193" t="s">
        <v>93</v>
      </c>
      <c r="W19" s="280"/>
      <c r="X19" s="207"/>
      <c r="Y19" s="207"/>
      <c r="Z19" s="232"/>
      <c r="AA19" s="222"/>
      <c r="AB19" s="222" t="s">
        <v>101</v>
      </c>
    </row>
    <row r="20" spans="1:28" s="197" customFormat="1" x14ac:dyDescent="0.2">
      <c r="A20" s="209" t="s">
        <v>47</v>
      </c>
      <c r="B20" s="210"/>
      <c r="C20" s="210"/>
      <c r="D20" s="305"/>
      <c r="E20" s="210"/>
      <c r="F20" s="211"/>
      <c r="G20" s="211"/>
      <c r="H20" s="211"/>
      <c r="I20" s="211">
        <f>SUM(I2:I19)</f>
        <v>8800</v>
      </c>
      <c r="J20" s="224"/>
      <c r="K20" s="224"/>
      <c r="L20" s="219">
        <f t="shared" si="2"/>
        <v>264000</v>
      </c>
      <c r="M20" s="225"/>
      <c r="N20" s="220">
        <f t="shared" si="3"/>
        <v>308000</v>
      </c>
      <c r="O20" s="221">
        <f t="shared" si="4"/>
        <v>352000</v>
      </c>
      <c r="P20" s="226"/>
      <c r="Q20" s="226"/>
      <c r="R20" s="226"/>
      <c r="S20" s="235"/>
      <c r="T20" s="226"/>
      <c r="U20" s="226"/>
      <c r="V20" s="226"/>
      <c r="W20" s="226"/>
      <c r="X20" s="226"/>
      <c r="Y20" s="226"/>
      <c r="Z20" s="235"/>
      <c r="AA20" s="211"/>
      <c r="AB20" s="211"/>
    </row>
    <row r="21" spans="1:28" s="198" customFormat="1" x14ac:dyDescent="0.2">
      <c r="D21" s="195"/>
      <c r="J21" s="227"/>
      <c r="K21" s="227"/>
      <c r="L21" s="228"/>
      <c r="M21" s="228"/>
      <c r="N21" s="229"/>
      <c r="O21" s="230"/>
      <c r="Q21" s="231"/>
      <c r="S21" s="195"/>
      <c r="V21" s="231"/>
      <c r="W21" s="231"/>
      <c r="X21" s="231"/>
      <c r="Y21" s="231"/>
      <c r="Z21" s="238"/>
    </row>
    <row r="23" spans="1:28" ht="33" customHeight="1" x14ac:dyDescent="0.2">
      <c r="A23" s="201"/>
      <c r="B23" s="202"/>
      <c r="C23" s="203"/>
      <c r="D23" s="231"/>
      <c r="E23" s="231"/>
      <c r="F23" s="204"/>
      <c r="G23" s="205"/>
      <c r="H23" s="204"/>
      <c r="I23" s="204"/>
      <c r="J23" s="204"/>
      <c r="K23" s="204"/>
      <c r="L23" s="204"/>
      <c r="M23" s="204"/>
      <c r="N23" s="205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spans="1:28" ht="34.5" customHeight="1" x14ac:dyDescent="0.2">
      <c r="A24" s="201"/>
      <c r="B24" s="202"/>
      <c r="C24" s="203"/>
      <c r="D24" s="231"/>
      <c r="E24" s="231"/>
      <c r="F24" s="204"/>
      <c r="G24" s="205"/>
      <c r="H24" s="204"/>
      <c r="I24" s="204"/>
      <c r="J24" s="204"/>
      <c r="K24" s="204"/>
      <c r="L24" s="204"/>
      <c r="M24" s="204"/>
      <c r="N24" s="205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</sheetData>
  <pageMargins left="0.39370078740157483" right="0" top="0.74803149606299213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AJ35"/>
  <sheetViews>
    <sheetView zoomScale="90" zoomScaleNormal="90" zoomScalePageLayoutView="90" workbookViewId="0">
      <selection activeCell="AD21" sqref="AD21"/>
    </sheetView>
  </sheetViews>
  <sheetFormatPr baseColWidth="10" defaultColWidth="9.1640625" defaultRowHeight="14" x14ac:dyDescent="0.2"/>
  <cols>
    <col min="1" max="1" width="9" style="167" bestFit="1" customWidth="1"/>
    <col min="2" max="2" width="13.5" style="167" hidden="1" customWidth="1"/>
    <col min="3" max="3" width="11.5" style="167" customWidth="1"/>
    <col min="4" max="4" width="47.5" style="251" customWidth="1"/>
    <col min="5" max="5" width="7.83203125" style="167" customWidth="1"/>
    <col min="6" max="6" width="9.5" style="167" customWidth="1"/>
    <col min="7" max="7" width="6.33203125" style="167" customWidth="1"/>
    <col min="8" max="8" width="4.6640625" style="167" customWidth="1"/>
    <col min="9" max="9" width="7.33203125" style="167" customWidth="1"/>
    <col min="10" max="10" width="10.5" style="168" customWidth="1"/>
    <col min="11" max="11" width="15.5" style="168" bestFit="1" customWidth="1"/>
    <col min="12" max="12" width="16.5" style="168" bestFit="1" customWidth="1"/>
    <col min="13" max="13" width="15.1640625" style="167" bestFit="1" customWidth="1"/>
    <col min="14" max="14" width="16.83203125" style="167" bestFit="1" customWidth="1"/>
    <col min="15" max="15" width="9.6640625" style="167" customWidth="1"/>
    <col min="16" max="16" width="8.5" style="167" customWidth="1"/>
    <col min="17" max="17" width="11.33203125" style="167" customWidth="1"/>
    <col min="18" max="18" width="9.33203125" style="167" customWidth="1"/>
    <col min="19" max="16384" width="9.1640625" style="167"/>
  </cols>
  <sheetData>
    <row r="1" spans="1:26" s="244" customFormat="1" ht="36" x14ac:dyDescent="0.2">
      <c r="A1" s="245" t="s">
        <v>74</v>
      </c>
      <c r="B1" s="245" t="s">
        <v>1</v>
      </c>
      <c r="C1" s="245" t="s">
        <v>75</v>
      </c>
      <c r="D1" s="246" t="s">
        <v>76</v>
      </c>
      <c r="E1" s="245" t="s">
        <v>2</v>
      </c>
      <c r="F1" s="245" t="s">
        <v>3</v>
      </c>
      <c r="G1" s="247" t="s">
        <v>4</v>
      </c>
      <c r="H1" s="247" t="s">
        <v>5</v>
      </c>
      <c r="I1" s="245" t="s">
        <v>6</v>
      </c>
      <c r="J1" s="245" t="s">
        <v>7</v>
      </c>
      <c r="K1" s="252" t="s">
        <v>8</v>
      </c>
      <c r="L1" s="253" t="s">
        <v>9</v>
      </c>
      <c r="M1" s="254" t="s">
        <v>10</v>
      </c>
      <c r="N1" s="254" t="s">
        <v>243</v>
      </c>
      <c r="O1" s="271" t="s">
        <v>77</v>
      </c>
      <c r="P1" s="271" t="s">
        <v>243</v>
      </c>
      <c r="Q1" s="255" t="s">
        <v>78</v>
      </c>
      <c r="R1" s="269" t="s">
        <v>243</v>
      </c>
    </row>
    <row r="2" spans="1:26" ht="15" x14ac:dyDescent="0.2">
      <c r="A2" s="180">
        <v>1</v>
      </c>
      <c r="B2" s="180" t="s">
        <v>560</v>
      </c>
      <c r="C2" s="248" t="s">
        <v>81</v>
      </c>
      <c r="D2" s="528" t="s">
        <v>462</v>
      </c>
      <c r="E2" s="188" t="s">
        <v>26</v>
      </c>
      <c r="F2" s="180" t="s">
        <v>82</v>
      </c>
      <c r="G2" s="180">
        <v>40</v>
      </c>
      <c r="H2" s="180">
        <v>20</v>
      </c>
      <c r="I2" s="188">
        <v>1</v>
      </c>
      <c r="J2" s="181">
        <f t="shared" ref="J2:J15" si="0">G2*H2</f>
        <v>800</v>
      </c>
      <c r="K2" s="242">
        <v>19.962865000000001</v>
      </c>
      <c r="L2" s="242">
        <v>79.297408000000004</v>
      </c>
      <c r="M2" s="266">
        <f>J2*40</f>
        <v>32000</v>
      </c>
      <c r="N2" s="266">
        <f t="shared" ref="N2:N11" si="1">M2/J2</f>
        <v>40</v>
      </c>
      <c r="O2" s="268">
        <f>J2*50</f>
        <v>40000</v>
      </c>
      <c r="P2" s="268">
        <f t="shared" ref="P2:P14" si="2">O2/J2</f>
        <v>50</v>
      </c>
      <c r="Q2" s="267">
        <v>48000</v>
      </c>
      <c r="R2" s="189">
        <f t="shared" ref="R2:R13" si="3">Q2/J2</f>
        <v>60</v>
      </c>
    </row>
    <row r="3" spans="1:26" ht="15" x14ac:dyDescent="0.2">
      <c r="A3" s="180">
        <v>2</v>
      </c>
      <c r="B3" s="180" t="s">
        <v>560</v>
      </c>
      <c r="C3" s="248" t="s">
        <v>81</v>
      </c>
      <c r="D3" s="531" t="s">
        <v>463</v>
      </c>
      <c r="E3" s="188" t="s">
        <v>30</v>
      </c>
      <c r="F3" s="180" t="s">
        <v>82</v>
      </c>
      <c r="G3" s="180">
        <v>20</v>
      </c>
      <c r="H3" s="180">
        <v>20</v>
      </c>
      <c r="I3" s="188">
        <v>1</v>
      </c>
      <c r="J3" s="181">
        <f t="shared" si="0"/>
        <v>400</v>
      </c>
      <c r="K3" s="242">
        <v>19.962865000000001</v>
      </c>
      <c r="L3" s="242">
        <v>79.297408000000004</v>
      </c>
      <c r="M3" s="266">
        <f>J3*40</f>
        <v>16000</v>
      </c>
      <c r="N3" s="266">
        <f t="shared" si="1"/>
        <v>40</v>
      </c>
      <c r="O3" s="268">
        <f>J3*50</f>
        <v>20000</v>
      </c>
      <c r="P3" s="268">
        <f t="shared" si="2"/>
        <v>50</v>
      </c>
      <c r="Q3" s="267">
        <v>24000</v>
      </c>
      <c r="R3" s="189">
        <f t="shared" si="3"/>
        <v>60</v>
      </c>
    </row>
    <row r="4" spans="1:26" s="502" customFormat="1" ht="15" x14ac:dyDescent="0.2">
      <c r="A4" s="565">
        <v>3</v>
      </c>
      <c r="B4" s="565" t="s">
        <v>560</v>
      </c>
      <c r="C4" s="566" t="s">
        <v>81</v>
      </c>
      <c r="D4" s="646" t="s">
        <v>464</v>
      </c>
      <c r="E4" s="567" t="s">
        <v>26</v>
      </c>
      <c r="F4" s="565" t="s">
        <v>82</v>
      </c>
      <c r="G4" s="565">
        <v>40</v>
      </c>
      <c r="H4" s="565">
        <v>20</v>
      </c>
      <c r="I4" s="567">
        <v>1</v>
      </c>
      <c r="J4" s="568">
        <f t="shared" si="0"/>
        <v>800</v>
      </c>
      <c r="K4" s="504">
        <v>19.962865000000001</v>
      </c>
      <c r="L4" s="504">
        <v>79.297408000000004</v>
      </c>
      <c r="M4" s="506">
        <f>J4*40</f>
        <v>32000</v>
      </c>
      <c r="N4" s="506">
        <f t="shared" si="1"/>
        <v>40</v>
      </c>
      <c r="O4" s="507">
        <f>J4*50</f>
        <v>40000</v>
      </c>
      <c r="P4" s="507">
        <f t="shared" si="2"/>
        <v>50</v>
      </c>
      <c r="Q4" s="569">
        <v>48000</v>
      </c>
      <c r="R4" s="570">
        <f t="shared" si="3"/>
        <v>60</v>
      </c>
    </row>
    <row r="5" spans="1:26" ht="15" x14ac:dyDescent="0.2">
      <c r="A5" s="180">
        <v>4</v>
      </c>
      <c r="B5" s="180" t="s">
        <v>560</v>
      </c>
      <c r="C5" s="248" t="s">
        <v>81</v>
      </c>
      <c r="D5" s="646" t="s">
        <v>876</v>
      </c>
      <c r="E5" s="188" t="s">
        <v>26</v>
      </c>
      <c r="F5" s="180" t="s">
        <v>82</v>
      </c>
      <c r="G5" s="180">
        <v>25</v>
      </c>
      <c r="H5" s="180">
        <v>25</v>
      </c>
      <c r="I5" s="188">
        <v>1</v>
      </c>
      <c r="J5" s="181">
        <f t="shared" si="0"/>
        <v>625</v>
      </c>
      <c r="K5" s="242">
        <v>19.962472999999999</v>
      </c>
      <c r="L5" s="242">
        <v>79.297175999999993</v>
      </c>
      <c r="M5" s="266">
        <v>30000</v>
      </c>
      <c r="N5" s="266">
        <f t="shared" si="1"/>
        <v>48</v>
      </c>
      <c r="O5" s="268">
        <v>35000</v>
      </c>
      <c r="P5" s="268">
        <f t="shared" si="2"/>
        <v>56</v>
      </c>
      <c r="Q5" s="267">
        <v>45000</v>
      </c>
      <c r="R5" s="189">
        <f t="shared" si="3"/>
        <v>72</v>
      </c>
    </row>
    <row r="6" spans="1:26" ht="29.25" customHeight="1" x14ac:dyDescent="0.2">
      <c r="A6" s="180">
        <v>5</v>
      </c>
      <c r="B6" s="180"/>
      <c r="C6" s="248" t="s">
        <v>81</v>
      </c>
      <c r="D6" s="646" t="s">
        <v>877</v>
      </c>
      <c r="E6" s="188" t="s">
        <v>26</v>
      </c>
      <c r="F6" s="180" t="s">
        <v>82</v>
      </c>
      <c r="G6" s="180">
        <v>25</v>
      </c>
      <c r="H6" s="180">
        <v>25</v>
      </c>
      <c r="I6" s="188">
        <v>1</v>
      </c>
      <c r="J6" s="181">
        <f t="shared" si="0"/>
        <v>625</v>
      </c>
      <c r="K6" s="242">
        <v>19.962472999999999</v>
      </c>
      <c r="L6" s="242">
        <v>79.297175999999993</v>
      </c>
      <c r="M6" s="266">
        <v>30000</v>
      </c>
      <c r="N6" s="266">
        <f t="shared" si="1"/>
        <v>48</v>
      </c>
      <c r="O6" s="268">
        <v>35000</v>
      </c>
      <c r="P6" s="268">
        <f t="shared" si="2"/>
        <v>56</v>
      </c>
      <c r="Q6" s="267">
        <v>45000</v>
      </c>
      <c r="R6" s="189">
        <f t="shared" si="3"/>
        <v>72</v>
      </c>
    </row>
    <row r="7" spans="1:26" ht="17.25" customHeight="1" x14ac:dyDescent="0.2">
      <c r="A7" s="565">
        <v>6</v>
      </c>
      <c r="B7" s="180" t="s">
        <v>559</v>
      </c>
      <c r="C7" s="566" t="s">
        <v>81</v>
      </c>
      <c r="D7" s="528" t="s">
        <v>465</v>
      </c>
      <c r="E7" s="188" t="s">
        <v>26</v>
      </c>
      <c r="F7" s="180" t="s">
        <v>82</v>
      </c>
      <c r="G7" s="180">
        <v>30</v>
      </c>
      <c r="H7" s="180">
        <v>20</v>
      </c>
      <c r="I7" s="188">
        <v>1</v>
      </c>
      <c r="J7" s="181">
        <f t="shared" si="0"/>
        <v>600</v>
      </c>
      <c r="K7" s="242">
        <v>19.962409000000001</v>
      </c>
      <c r="L7" s="242">
        <v>79.297126000000006</v>
      </c>
      <c r="M7" s="266">
        <f t="shared" ref="M7:M13" si="4">J7*40</f>
        <v>24000</v>
      </c>
      <c r="N7" s="266">
        <f t="shared" si="1"/>
        <v>40</v>
      </c>
      <c r="O7" s="268">
        <f t="shared" ref="O7:O13" si="5">J7*50</f>
        <v>30000</v>
      </c>
      <c r="P7" s="268">
        <f t="shared" si="2"/>
        <v>50</v>
      </c>
      <c r="Q7" s="267">
        <v>36000</v>
      </c>
      <c r="R7" s="189">
        <f t="shared" si="3"/>
        <v>60</v>
      </c>
    </row>
    <row r="8" spans="1:26" ht="15" customHeight="1" x14ac:dyDescent="0.2">
      <c r="A8" s="180">
        <v>7</v>
      </c>
      <c r="B8" s="180" t="s">
        <v>559</v>
      </c>
      <c r="C8" s="566" t="s">
        <v>81</v>
      </c>
      <c r="D8" s="528" t="s">
        <v>466</v>
      </c>
      <c r="E8" s="188" t="s">
        <v>26</v>
      </c>
      <c r="F8" s="180" t="s">
        <v>82</v>
      </c>
      <c r="G8" s="180">
        <v>30</v>
      </c>
      <c r="H8" s="180">
        <v>20</v>
      </c>
      <c r="I8" s="188">
        <v>1</v>
      </c>
      <c r="J8" s="181">
        <f t="shared" si="0"/>
        <v>600</v>
      </c>
      <c r="K8" s="242">
        <v>19.962409000000001</v>
      </c>
      <c r="L8" s="242">
        <v>79.297126000000006</v>
      </c>
      <c r="M8" s="266">
        <f t="shared" si="4"/>
        <v>24000</v>
      </c>
      <c r="N8" s="266">
        <f t="shared" si="1"/>
        <v>40</v>
      </c>
      <c r="O8" s="268">
        <f t="shared" si="5"/>
        <v>30000</v>
      </c>
      <c r="P8" s="268">
        <f t="shared" si="2"/>
        <v>50</v>
      </c>
      <c r="Q8" s="267">
        <v>36000</v>
      </c>
      <c r="R8" s="189">
        <f t="shared" si="3"/>
        <v>60</v>
      </c>
    </row>
    <row r="9" spans="1:26" ht="15" customHeight="1" x14ac:dyDescent="0.2">
      <c r="A9" s="180">
        <v>8</v>
      </c>
      <c r="B9" s="180" t="s">
        <v>559</v>
      </c>
      <c r="C9" s="566" t="s">
        <v>81</v>
      </c>
      <c r="D9" s="646" t="s">
        <v>467</v>
      </c>
      <c r="E9" s="188" t="s">
        <v>26</v>
      </c>
      <c r="F9" s="180" t="s">
        <v>82</v>
      </c>
      <c r="G9" s="180">
        <v>30</v>
      </c>
      <c r="H9" s="180">
        <v>20</v>
      </c>
      <c r="I9" s="188">
        <v>1</v>
      </c>
      <c r="J9" s="181">
        <f t="shared" si="0"/>
        <v>600</v>
      </c>
      <c r="K9" s="242">
        <v>19.962409000000001</v>
      </c>
      <c r="L9" s="242">
        <v>79.297126000000006</v>
      </c>
      <c r="M9" s="266">
        <f t="shared" si="4"/>
        <v>24000</v>
      </c>
      <c r="N9" s="266">
        <f t="shared" si="1"/>
        <v>40</v>
      </c>
      <c r="O9" s="268">
        <f t="shared" si="5"/>
        <v>30000</v>
      </c>
      <c r="P9" s="268">
        <f t="shared" si="2"/>
        <v>50</v>
      </c>
      <c r="Q9" s="267">
        <v>36000</v>
      </c>
      <c r="R9" s="189">
        <f t="shared" si="3"/>
        <v>60</v>
      </c>
    </row>
    <row r="10" spans="1:26" s="502" customFormat="1" ht="15" x14ac:dyDescent="0.2">
      <c r="A10" s="180">
        <v>9</v>
      </c>
      <c r="B10" s="565" t="s">
        <v>559</v>
      </c>
      <c r="C10" s="566" t="s">
        <v>81</v>
      </c>
      <c r="D10" s="646" t="s">
        <v>468</v>
      </c>
      <c r="E10" s="567" t="s">
        <v>26</v>
      </c>
      <c r="F10" s="565" t="s">
        <v>82</v>
      </c>
      <c r="G10" s="565">
        <v>50</v>
      </c>
      <c r="H10" s="565">
        <v>25</v>
      </c>
      <c r="I10" s="565">
        <v>1</v>
      </c>
      <c r="J10" s="568">
        <f t="shared" si="0"/>
        <v>1250</v>
      </c>
      <c r="K10" s="524">
        <v>19.967638999999998</v>
      </c>
      <c r="L10" s="524">
        <v>79.292941999999996</v>
      </c>
      <c r="M10" s="506">
        <f t="shared" si="4"/>
        <v>50000</v>
      </c>
      <c r="N10" s="506">
        <f t="shared" si="1"/>
        <v>40</v>
      </c>
      <c r="O10" s="507">
        <f t="shared" si="5"/>
        <v>62500</v>
      </c>
      <c r="P10" s="507">
        <f t="shared" si="2"/>
        <v>50</v>
      </c>
      <c r="Q10" s="569">
        <v>75000</v>
      </c>
      <c r="R10" s="570">
        <f t="shared" si="3"/>
        <v>60</v>
      </c>
    </row>
    <row r="11" spans="1:26" ht="15" x14ac:dyDescent="0.2">
      <c r="A11" s="180">
        <v>10</v>
      </c>
      <c r="B11" s="180"/>
      <c r="C11" s="566" t="s">
        <v>81</v>
      </c>
      <c r="D11" s="528" t="s">
        <v>879</v>
      </c>
      <c r="E11" s="188" t="s">
        <v>30</v>
      </c>
      <c r="F11" s="180" t="s">
        <v>82</v>
      </c>
      <c r="G11" s="180">
        <v>40</v>
      </c>
      <c r="H11" s="180">
        <v>20</v>
      </c>
      <c r="I11" s="180">
        <v>1</v>
      </c>
      <c r="J11" s="181">
        <f t="shared" si="0"/>
        <v>800</v>
      </c>
      <c r="K11" s="242">
        <v>19.990863000000001</v>
      </c>
      <c r="L11" s="242">
        <v>79.263519099999996</v>
      </c>
      <c r="M11" s="266">
        <f t="shared" si="4"/>
        <v>32000</v>
      </c>
      <c r="N11" s="266">
        <f t="shared" si="1"/>
        <v>40</v>
      </c>
      <c r="O11" s="268">
        <f t="shared" si="5"/>
        <v>40000</v>
      </c>
      <c r="P11" s="268">
        <f t="shared" si="2"/>
        <v>50</v>
      </c>
      <c r="Q11" s="267">
        <v>48000</v>
      </c>
      <c r="R11" s="570">
        <f t="shared" si="3"/>
        <v>60</v>
      </c>
      <c r="Y11"/>
      <c r="Z11"/>
    </row>
    <row r="12" spans="1:26" ht="15" x14ac:dyDescent="0.2">
      <c r="A12" s="180">
        <v>11</v>
      </c>
      <c r="B12" s="180"/>
      <c r="C12" s="566" t="s">
        <v>81</v>
      </c>
      <c r="D12" s="646" t="s">
        <v>880</v>
      </c>
      <c r="E12" s="188" t="s">
        <v>30</v>
      </c>
      <c r="F12" s="180" t="s">
        <v>82</v>
      </c>
      <c r="G12" s="180">
        <v>40</v>
      </c>
      <c r="H12" s="180">
        <v>20</v>
      </c>
      <c r="I12" s="180">
        <v>1</v>
      </c>
      <c r="J12" s="181">
        <f t="shared" si="0"/>
        <v>800</v>
      </c>
      <c r="K12" s="242">
        <v>19.990863000000001</v>
      </c>
      <c r="L12" s="242">
        <v>79.263519099999996</v>
      </c>
      <c r="M12" s="266">
        <f t="shared" si="4"/>
        <v>32000</v>
      </c>
      <c r="N12" s="266"/>
      <c r="O12" s="268">
        <f t="shared" si="5"/>
        <v>40000</v>
      </c>
      <c r="P12" s="268">
        <f t="shared" si="2"/>
        <v>50</v>
      </c>
      <c r="Q12" s="267">
        <v>48000</v>
      </c>
      <c r="R12" s="570">
        <f t="shared" si="3"/>
        <v>60</v>
      </c>
      <c r="Y12"/>
      <c r="Z12"/>
    </row>
    <row r="13" spans="1:26" ht="15" x14ac:dyDescent="0.2">
      <c r="A13" s="180">
        <v>12</v>
      </c>
      <c r="B13" s="180"/>
      <c r="C13" s="566" t="s">
        <v>81</v>
      </c>
      <c r="D13" s="646" t="s">
        <v>878</v>
      </c>
      <c r="E13" s="188" t="s">
        <v>30</v>
      </c>
      <c r="F13" s="180" t="s">
        <v>82</v>
      </c>
      <c r="G13" s="180">
        <v>20</v>
      </c>
      <c r="H13" s="180">
        <v>20</v>
      </c>
      <c r="I13" s="180">
        <v>1</v>
      </c>
      <c r="J13" s="181">
        <f t="shared" si="0"/>
        <v>400</v>
      </c>
      <c r="K13" s="242">
        <v>19.990863000000001</v>
      </c>
      <c r="L13" s="242">
        <v>79.263519099999996</v>
      </c>
      <c r="M13" s="266">
        <f t="shared" si="4"/>
        <v>16000</v>
      </c>
      <c r="N13" s="266"/>
      <c r="O13" s="268">
        <f t="shared" si="5"/>
        <v>20000</v>
      </c>
      <c r="P13" s="268">
        <f t="shared" si="2"/>
        <v>50</v>
      </c>
      <c r="Q13" s="267">
        <v>24000</v>
      </c>
      <c r="R13" s="570">
        <f t="shared" si="3"/>
        <v>60</v>
      </c>
      <c r="Y13"/>
      <c r="Z13"/>
    </row>
    <row r="14" spans="1:26" s="502" customFormat="1" ht="15" x14ac:dyDescent="0.2">
      <c r="A14" s="180">
        <v>13</v>
      </c>
      <c r="B14" s="565" t="s">
        <v>836</v>
      </c>
      <c r="C14" s="565" t="s">
        <v>874</v>
      </c>
      <c r="D14" s="706" t="s">
        <v>834</v>
      </c>
      <c r="E14" s="565" t="s">
        <v>30</v>
      </c>
      <c r="F14" s="565" t="s">
        <v>82</v>
      </c>
      <c r="G14" s="565">
        <v>25</v>
      </c>
      <c r="H14" s="565">
        <v>25</v>
      </c>
      <c r="I14" s="180">
        <v>1</v>
      </c>
      <c r="J14" s="568">
        <f t="shared" si="0"/>
        <v>625</v>
      </c>
      <c r="K14" s="242">
        <v>20.234579700000001</v>
      </c>
      <c r="L14" s="242">
        <v>79.012638800000005</v>
      </c>
      <c r="M14" s="506">
        <f>J14*30</f>
        <v>18750</v>
      </c>
      <c r="N14" s="506">
        <f>M14/J14</f>
        <v>30</v>
      </c>
      <c r="O14" s="507">
        <v>22000</v>
      </c>
      <c r="P14" s="507">
        <f t="shared" si="2"/>
        <v>35.200000000000003</v>
      </c>
      <c r="Q14" s="569">
        <f>J14*40</f>
        <v>25000</v>
      </c>
      <c r="R14" s="570">
        <v>40</v>
      </c>
      <c r="Y14"/>
      <c r="Z14"/>
    </row>
    <row r="15" spans="1:26" s="502" customFormat="1" ht="15" x14ac:dyDescent="0.2">
      <c r="A15" s="180">
        <v>14</v>
      </c>
      <c r="B15" s="565" t="s">
        <v>837</v>
      </c>
      <c r="C15" s="565" t="s">
        <v>874</v>
      </c>
      <c r="D15" s="706" t="s">
        <v>835</v>
      </c>
      <c r="E15" s="565" t="s">
        <v>30</v>
      </c>
      <c r="F15" s="565" t="s">
        <v>82</v>
      </c>
      <c r="G15" s="565">
        <v>25</v>
      </c>
      <c r="H15" s="565">
        <v>25</v>
      </c>
      <c r="I15" s="565">
        <v>1</v>
      </c>
      <c r="J15" s="568">
        <f t="shared" si="0"/>
        <v>625</v>
      </c>
      <c r="K15" s="242">
        <v>20.234579700000001</v>
      </c>
      <c r="L15" s="242">
        <v>79.012638800000005</v>
      </c>
      <c r="M15" s="506">
        <f>J15*30</f>
        <v>18750</v>
      </c>
      <c r="N15" s="506">
        <v>30</v>
      </c>
      <c r="O15" s="507">
        <v>22000</v>
      </c>
      <c r="P15" s="507">
        <v>35</v>
      </c>
      <c r="Q15" s="569">
        <f>J15*40</f>
        <v>25000</v>
      </c>
      <c r="R15" s="570">
        <v>40</v>
      </c>
    </row>
    <row r="16" spans="1:26" ht="15" x14ac:dyDescent="0.2">
      <c r="A16" s="180"/>
      <c r="B16" s="173"/>
      <c r="C16" s="249"/>
      <c r="D16" s="250" t="s">
        <v>47</v>
      </c>
      <c r="E16" s="565"/>
      <c r="F16" s="173"/>
      <c r="G16" s="173"/>
      <c r="H16" s="173"/>
      <c r="I16" s="173">
        <f>SUM(I2:I15)</f>
        <v>14</v>
      </c>
      <c r="J16" s="191">
        <f>SUM(J2:J15)</f>
        <v>9550</v>
      </c>
      <c r="K16" s="191"/>
      <c r="L16" s="191"/>
      <c r="M16" s="172">
        <f>SUM(M2:M10)</f>
        <v>262000</v>
      </c>
      <c r="N16" s="172"/>
      <c r="O16" s="172">
        <f>SUM(O2:O15)</f>
        <v>466500</v>
      </c>
      <c r="P16" s="172"/>
      <c r="Q16" s="172">
        <f>SUM(Q2:Q15)</f>
        <v>563000</v>
      </c>
      <c r="R16" s="173"/>
    </row>
    <row r="17" spans="1:36" ht="15" x14ac:dyDescent="0.2">
      <c r="J17" s="168" t="s">
        <v>301</v>
      </c>
    </row>
    <row r="18" spans="1:36" x14ac:dyDescent="0.2">
      <c r="A18" s="168"/>
    </row>
    <row r="19" spans="1:36" ht="15" x14ac:dyDescent="0.2">
      <c r="B19" s="550"/>
      <c r="C19" s="549"/>
      <c r="D19" s="540"/>
      <c r="E19" s="539"/>
      <c r="F19" s="539"/>
      <c r="G19" s="539"/>
    </row>
    <row r="20" spans="1:36" ht="16" x14ac:dyDescent="0.2">
      <c r="A20" s="551"/>
      <c r="B20" s="550"/>
      <c r="C20" s="586"/>
      <c r="D20" s="540"/>
      <c r="E20" s="539"/>
      <c r="F20" s="539"/>
      <c r="G20" s="539"/>
      <c r="S20" s="539"/>
      <c r="T20" s="417"/>
      <c r="W20" s="272"/>
      <c r="Y20" s="272"/>
      <c r="AA20" s="168"/>
      <c r="AB20" s="168"/>
      <c r="AF20" s="470"/>
      <c r="AG20" s="470"/>
      <c r="AH20" s="414"/>
      <c r="AI20" s="414"/>
      <c r="AJ20" s="414"/>
    </row>
    <row r="21" spans="1:36" ht="16" x14ac:dyDescent="0.2">
      <c r="A21" s="551"/>
      <c r="B21" s="550"/>
      <c r="C21" s="553"/>
      <c r="D21" s="540"/>
      <c r="E21" s="539"/>
      <c r="F21" s="539"/>
      <c r="G21" s="539"/>
      <c r="S21" s="539"/>
      <c r="T21" s="417"/>
      <c r="X21" s="167" t="s">
        <v>302</v>
      </c>
      <c r="Z21" s="167" t="s">
        <v>301</v>
      </c>
      <c r="AA21" s="168"/>
      <c r="AB21" s="168"/>
      <c r="AC21" s="167" t="s">
        <v>301</v>
      </c>
      <c r="AD21" s="167" t="s">
        <v>301</v>
      </c>
      <c r="AE21" s="167" t="s">
        <v>301</v>
      </c>
      <c r="AF21" s="470" t="s">
        <v>303</v>
      </c>
      <c r="AG21" s="470"/>
      <c r="AH21" s="414"/>
      <c r="AI21" s="414"/>
      <c r="AJ21" s="414"/>
    </row>
    <row r="22" spans="1:36" ht="16" x14ac:dyDescent="0.2">
      <c r="A22" s="551"/>
      <c r="B22" s="550"/>
      <c r="C22" s="553"/>
      <c r="D22" s="540"/>
      <c r="E22" s="539"/>
      <c r="F22" s="539"/>
      <c r="G22" s="539"/>
      <c r="H22" s="539"/>
      <c r="I22" s="539"/>
      <c r="J22" s="539"/>
      <c r="K22" s="539"/>
      <c r="L22" s="539"/>
      <c r="M22" s="196"/>
      <c r="N22" s="196"/>
      <c r="O22" s="196"/>
      <c r="S22" s="539"/>
      <c r="T22" s="196"/>
      <c r="U22" s="196"/>
      <c r="V22" s="196"/>
      <c r="AB22" s="168"/>
      <c r="AC22" s="168"/>
      <c r="AF22" s="414"/>
      <c r="AG22" s="470"/>
      <c r="AH22" s="414"/>
      <c r="AI22" s="470"/>
      <c r="AJ22" s="414"/>
    </row>
    <row r="23" spans="1:36" ht="16" x14ac:dyDescent="0.2">
      <c r="A23" s="551"/>
      <c r="B23" s="550"/>
      <c r="C23" s="553"/>
      <c r="D23" s="540"/>
      <c r="E23" s="539"/>
      <c r="F23" s="539"/>
      <c r="G23" s="539"/>
      <c r="H23" s="539"/>
      <c r="I23" s="539"/>
      <c r="J23" s="539"/>
      <c r="K23" s="539"/>
      <c r="L23" s="539"/>
      <c r="M23" s="196"/>
      <c r="N23" s="196"/>
      <c r="O23" s="196"/>
    </row>
    <row r="24" spans="1:36" ht="16" x14ac:dyDescent="0.2">
      <c r="A24" s="551"/>
      <c r="B24" s="550"/>
      <c r="C24" s="553"/>
      <c r="D24" s="540"/>
      <c r="E24" s="539"/>
      <c r="F24" s="539"/>
      <c r="G24" s="539"/>
      <c r="H24" s="539"/>
      <c r="I24" s="539"/>
      <c r="J24" s="539"/>
      <c r="K24" s="539"/>
      <c r="L24" s="539"/>
      <c r="M24" s="196"/>
      <c r="N24" s="196"/>
      <c r="O24" s="196"/>
    </row>
    <row r="25" spans="1:36" ht="16" x14ac:dyDescent="0.2">
      <c r="A25" s="551"/>
      <c r="B25" s="550"/>
      <c r="C25" s="553"/>
      <c r="D25" s="540"/>
      <c r="E25" s="539"/>
      <c r="F25" s="539"/>
      <c r="G25" s="539"/>
      <c r="H25" s="539"/>
      <c r="I25" s="539"/>
      <c r="J25" s="539"/>
      <c r="K25" s="539"/>
      <c r="L25" s="539"/>
      <c r="M25" s="196"/>
      <c r="N25" s="196"/>
      <c r="O25" s="196"/>
    </row>
    <row r="26" spans="1:36" ht="16" x14ac:dyDescent="0.2">
      <c r="A26" s="551"/>
      <c r="B26" s="550"/>
      <c r="C26" s="553"/>
      <c r="D26" s="540"/>
      <c r="E26" s="539"/>
      <c r="F26" s="539"/>
      <c r="G26" s="539"/>
      <c r="H26" s="539"/>
      <c r="I26" s="539"/>
      <c r="J26" s="539"/>
      <c r="K26" s="539"/>
      <c r="L26" s="539"/>
      <c r="M26" s="196"/>
      <c r="N26" s="196"/>
      <c r="O26" s="196"/>
    </row>
    <row r="27" spans="1:36" ht="16" x14ac:dyDescent="0.2">
      <c r="A27" s="551"/>
      <c r="B27" s="550"/>
      <c r="C27" s="553"/>
      <c r="D27" s="540"/>
      <c r="E27" s="539"/>
      <c r="F27" s="539"/>
      <c r="G27" s="539"/>
      <c r="H27" s="539"/>
      <c r="I27" s="539"/>
      <c r="J27" s="539"/>
      <c r="K27" s="539"/>
      <c r="L27" s="539"/>
      <c r="M27" s="196"/>
      <c r="N27" s="196"/>
      <c r="O27" s="196"/>
    </row>
    <row r="28" spans="1:36" ht="21.75" customHeight="1" x14ac:dyDescent="0.2">
      <c r="A28" s="551"/>
      <c r="B28" s="550"/>
      <c r="C28" s="553"/>
      <c r="D28" s="540"/>
      <c r="E28" s="539"/>
      <c r="F28" s="539"/>
      <c r="G28" s="539"/>
      <c r="H28" s="539"/>
      <c r="I28" s="539"/>
      <c r="J28" s="539"/>
      <c r="K28" s="539"/>
      <c r="L28" s="539"/>
      <c r="M28" s="196"/>
      <c r="N28" s="196"/>
      <c r="O28" s="196"/>
    </row>
    <row r="29" spans="1:36" ht="16" x14ac:dyDescent="0.2">
      <c r="A29" s="551"/>
      <c r="B29" s="550"/>
      <c r="C29" s="609"/>
      <c r="D29" s="540"/>
      <c r="E29" s="539"/>
      <c r="F29" s="539"/>
      <c r="G29" s="539"/>
      <c r="H29" s="539"/>
      <c r="I29" s="539"/>
      <c r="J29" s="539"/>
      <c r="K29" s="539"/>
      <c r="L29" s="539"/>
      <c r="M29" s="196"/>
      <c r="N29" s="196"/>
      <c r="O29" s="196"/>
    </row>
    <row r="30" spans="1:36" ht="16" x14ac:dyDescent="0.2">
      <c r="A30" s="551"/>
      <c r="B30" s="550"/>
      <c r="C30" s="553"/>
      <c r="D30" s="540"/>
      <c r="E30" s="539"/>
      <c r="F30" s="539"/>
      <c r="G30" s="539"/>
      <c r="H30" s="539"/>
      <c r="I30" s="539"/>
      <c r="J30" s="539"/>
      <c r="K30" s="539"/>
      <c r="L30" s="539"/>
      <c r="M30" s="196"/>
      <c r="N30" s="196"/>
    </row>
    <row r="31" spans="1:36" ht="16" x14ac:dyDescent="0.2">
      <c r="A31" s="551"/>
      <c r="B31" s="550"/>
      <c r="C31" s="553"/>
      <c r="D31" s="540"/>
      <c r="E31" s="539"/>
      <c r="F31" s="539"/>
      <c r="G31" s="539"/>
      <c r="H31" s="539"/>
      <c r="I31" s="539"/>
      <c r="J31" s="539"/>
      <c r="K31" s="539"/>
      <c r="L31" s="539"/>
      <c r="M31" s="417"/>
      <c r="O31" s="196"/>
    </row>
    <row r="32" spans="1:36" ht="16" x14ac:dyDescent="0.2">
      <c r="A32" s="551"/>
      <c r="B32" s="550"/>
      <c r="C32" s="554"/>
      <c r="D32" s="540"/>
      <c r="E32" s="395"/>
      <c r="F32" s="395"/>
      <c r="G32" s="395"/>
      <c r="H32" s="395"/>
      <c r="I32" s="395"/>
      <c r="J32" s="395"/>
      <c r="K32" s="395"/>
      <c r="L32" s="395"/>
      <c r="M32" s="196"/>
      <c r="N32" s="196"/>
    </row>
    <row r="33" spans="1:13" ht="16" x14ac:dyDescent="0.2">
      <c r="A33" s="551"/>
      <c r="B33" s="550"/>
      <c r="C33" s="740"/>
      <c r="D33" s="740"/>
      <c r="E33" s="395"/>
      <c r="F33" s="395"/>
      <c r="G33" s="395"/>
      <c r="H33" s="395"/>
      <c r="I33" s="395"/>
      <c r="J33" s="395"/>
      <c r="K33" s="395"/>
      <c r="L33" s="395"/>
      <c r="M33" s="417"/>
    </row>
    <row r="34" spans="1:13" ht="16" x14ac:dyDescent="0.2">
      <c r="A34" s="413"/>
      <c r="C34" s="552"/>
      <c r="D34" s="540"/>
      <c r="E34" s="395"/>
      <c r="F34" s="395"/>
      <c r="G34" s="395"/>
      <c r="H34" s="395"/>
      <c r="I34" s="395"/>
      <c r="J34" s="395"/>
      <c r="K34" s="395"/>
      <c r="L34" s="395"/>
      <c r="M34" s="417"/>
    </row>
    <row r="35" spans="1:13" ht="16" x14ac:dyDescent="0.2">
      <c r="A35" s="413"/>
      <c r="C35" s="544"/>
      <c r="D35" s="555"/>
      <c r="E35" s="395"/>
      <c r="F35" s="395"/>
      <c r="G35" s="395"/>
      <c r="H35" s="395"/>
      <c r="I35" s="395"/>
      <c r="J35" s="395"/>
      <c r="K35" s="395"/>
      <c r="L35" s="395"/>
      <c r="M35" s="417"/>
    </row>
  </sheetData>
  <autoFilter ref="A1:R17" xr:uid="{00000000-0009-0000-0000-000003000000}">
    <sortState xmlns:xlrd2="http://schemas.microsoft.com/office/spreadsheetml/2017/richdata2" ref="A2:R17">
      <sortCondition ref="A1:A17"/>
    </sortState>
  </autoFilter>
  <mergeCells count="1">
    <mergeCell ref="C33:D33"/>
  </mergeCells>
  <phoneticPr fontId="172" type="noConversion"/>
  <pageMargins left="0.82677165354330717" right="0" top="1.2598425196850394" bottom="0" header="0.23622047244094491" footer="0.31496062992125984"/>
  <pageSetup paperSize="9" scale="2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A1:N24"/>
  <sheetViews>
    <sheetView topLeftCell="C1" zoomScale="90" zoomScaleNormal="90" workbookViewId="0">
      <pane ySplit="1" topLeftCell="A2" activePane="bottomLeft" state="frozen"/>
      <selection activeCell="C14" sqref="C14"/>
      <selection pane="bottomLeft" activeCell="N21" sqref="N21"/>
    </sheetView>
  </sheetViews>
  <sheetFormatPr baseColWidth="10" defaultColWidth="8.83203125" defaultRowHeight="15" x14ac:dyDescent="0.2"/>
  <cols>
    <col min="1" max="1" width="5.1640625" customWidth="1"/>
    <col min="2" max="2" width="9.1640625" customWidth="1"/>
    <col min="3" max="3" width="57" bestFit="1" customWidth="1"/>
    <col min="4" max="4" width="6.5" bestFit="1" customWidth="1"/>
    <col min="5" max="5" width="9" bestFit="1" customWidth="1"/>
    <col min="6" max="6" width="4.5" style="459" customWidth="1"/>
    <col min="7" max="7" width="4.83203125" style="459" customWidth="1"/>
    <col min="8" max="9" width="6.83203125" style="459" customWidth="1"/>
    <col min="10" max="10" width="12.83203125" style="459" bestFit="1" customWidth="1"/>
    <col min="11" max="11" width="13.6640625" style="459" bestFit="1" customWidth="1"/>
    <col min="12" max="12" width="14.6640625" bestFit="1" customWidth="1"/>
    <col min="13" max="13" width="12.33203125" style="459" bestFit="1" customWidth="1"/>
    <col min="14" max="14" width="13.33203125" style="459" bestFit="1" customWidth="1"/>
  </cols>
  <sheetData>
    <row r="1" spans="1:14" s="312" customFormat="1" ht="34" x14ac:dyDescent="0.2">
      <c r="A1" s="274" t="s">
        <v>0</v>
      </c>
      <c r="B1" s="275" t="s">
        <v>75</v>
      </c>
      <c r="C1" s="275" t="s">
        <v>76</v>
      </c>
      <c r="D1" s="276" t="s">
        <v>2</v>
      </c>
      <c r="E1" s="275" t="s">
        <v>3</v>
      </c>
      <c r="F1" s="275" t="s">
        <v>4</v>
      </c>
      <c r="G1" s="275" t="s">
        <v>5</v>
      </c>
      <c r="H1" s="275" t="s">
        <v>6</v>
      </c>
      <c r="I1" s="275" t="s">
        <v>490</v>
      </c>
      <c r="J1" s="186" t="s">
        <v>8</v>
      </c>
      <c r="K1" s="187" t="s">
        <v>9</v>
      </c>
      <c r="L1" s="277" t="s">
        <v>84</v>
      </c>
      <c r="M1" s="278" t="s">
        <v>77</v>
      </c>
      <c r="N1" s="578" t="s">
        <v>12</v>
      </c>
    </row>
    <row r="2" spans="1:14" s="572" customFormat="1" ht="16" x14ac:dyDescent="0.2">
      <c r="A2" s="602">
        <v>1</v>
      </c>
      <c r="B2" s="603" t="s">
        <v>108</v>
      </c>
      <c r="C2" s="576" t="s">
        <v>436</v>
      </c>
      <c r="D2" s="602" t="s">
        <v>30</v>
      </c>
      <c r="E2" s="603" t="s">
        <v>27</v>
      </c>
      <c r="F2" s="602">
        <v>40</v>
      </c>
      <c r="G2" s="602">
        <v>20</v>
      </c>
      <c r="H2" s="602">
        <v>1</v>
      </c>
      <c r="I2" s="604">
        <f>F2*G2</f>
        <v>800</v>
      </c>
      <c r="J2" s="604">
        <v>21.46415</v>
      </c>
      <c r="K2" s="604">
        <v>80.190060000000003</v>
      </c>
      <c r="L2" s="602">
        <f>25*I2</f>
        <v>20000</v>
      </c>
      <c r="M2" s="604">
        <f>30*I2</f>
        <v>24000</v>
      </c>
      <c r="N2" s="604">
        <f>35*I2</f>
        <v>28000</v>
      </c>
    </row>
    <row r="3" spans="1:14" x14ac:dyDescent="0.2">
      <c r="A3" s="574">
        <v>2</v>
      </c>
      <c r="B3" s="575" t="s">
        <v>108</v>
      </c>
      <c r="C3" s="571" t="s">
        <v>822</v>
      </c>
      <c r="D3" s="574" t="s">
        <v>30</v>
      </c>
      <c r="E3" s="575" t="s">
        <v>27</v>
      </c>
      <c r="F3" s="574">
        <v>30</v>
      </c>
      <c r="G3" s="574">
        <v>20</v>
      </c>
      <c r="H3" s="574">
        <v>1</v>
      </c>
      <c r="I3" s="457">
        <f>F3*G3</f>
        <v>600</v>
      </c>
      <c r="J3" s="457" t="s">
        <v>573</v>
      </c>
      <c r="K3" s="457">
        <v>80.190070000000006</v>
      </c>
      <c r="L3" s="574">
        <f>25*I3</f>
        <v>15000</v>
      </c>
      <c r="M3" s="457">
        <f>30*I3</f>
        <v>18000</v>
      </c>
      <c r="N3" s="457">
        <f>35*I3</f>
        <v>21000</v>
      </c>
    </row>
    <row r="4" spans="1:14" s="572" customFormat="1" x14ac:dyDescent="0.2">
      <c r="A4" s="602">
        <v>3</v>
      </c>
      <c r="B4" s="603" t="s">
        <v>108</v>
      </c>
      <c r="C4" s="706" t="s">
        <v>867</v>
      </c>
      <c r="D4" s="602" t="s">
        <v>30</v>
      </c>
      <c r="E4" s="603" t="s">
        <v>27</v>
      </c>
      <c r="F4" s="602">
        <v>30</v>
      </c>
      <c r="G4" s="602">
        <v>30</v>
      </c>
      <c r="H4" s="602">
        <v>1</v>
      </c>
      <c r="I4" s="604">
        <f>F4*G4</f>
        <v>900</v>
      </c>
      <c r="J4" s="604" t="s">
        <v>574</v>
      </c>
      <c r="K4" s="604">
        <v>80.199299999999994</v>
      </c>
      <c r="L4" s="602">
        <f>25*I4</f>
        <v>22500</v>
      </c>
      <c r="M4" s="604">
        <f>30*I4</f>
        <v>27000</v>
      </c>
      <c r="N4" s="604">
        <v>32000</v>
      </c>
    </row>
    <row r="5" spans="1:14" x14ac:dyDescent="0.2">
      <c r="A5" s="574">
        <v>4</v>
      </c>
      <c r="B5" s="577" t="s">
        <v>108</v>
      </c>
      <c r="C5" s="706" t="s">
        <v>823</v>
      </c>
      <c r="D5" s="574" t="s">
        <v>30</v>
      </c>
      <c r="E5" s="575" t="s">
        <v>27</v>
      </c>
      <c r="F5" s="574">
        <v>30</v>
      </c>
      <c r="G5" s="574">
        <v>30</v>
      </c>
      <c r="H5" s="574">
        <v>1</v>
      </c>
      <c r="I5" s="457">
        <f>F5*G5</f>
        <v>900</v>
      </c>
      <c r="J5" s="457" t="s">
        <v>575</v>
      </c>
      <c r="K5" s="457">
        <v>80.199299999999994</v>
      </c>
      <c r="L5" s="574">
        <f>25*I5</f>
        <v>22500</v>
      </c>
      <c r="M5" s="457">
        <f>30*I5</f>
        <v>27000</v>
      </c>
      <c r="N5" s="457">
        <v>32000</v>
      </c>
    </row>
    <row r="6" spans="1:14" ht="16" x14ac:dyDescent="0.2">
      <c r="A6" s="574">
        <v>5</v>
      </c>
      <c r="B6" s="575" t="s">
        <v>108</v>
      </c>
      <c r="C6" s="707" t="s">
        <v>435</v>
      </c>
      <c r="D6" s="574" t="s">
        <v>30</v>
      </c>
      <c r="E6" s="575" t="s">
        <v>27</v>
      </c>
      <c r="F6" s="574">
        <v>30</v>
      </c>
      <c r="G6" s="574">
        <v>30</v>
      </c>
      <c r="H6" s="574">
        <v>1</v>
      </c>
      <c r="I6" s="457">
        <f>F6*G6</f>
        <v>900</v>
      </c>
      <c r="J6" s="457" t="s">
        <v>575</v>
      </c>
      <c r="K6" s="457">
        <v>80.199299999999994</v>
      </c>
      <c r="L6" s="574">
        <f>25*I6</f>
        <v>22500</v>
      </c>
      <c r="M6" s="457">
        <f>30*I6</f>
        <v>27000</v>
      </c>
      <c r="N6" s="457">
        <v>32000</v>
      </c>
    </row>
    <row r="9" spans="1:14" ht="16" x14ac:dyDescent="0.2">
      <c r="A9" s="607"/>
      <c r="B9" s="552"/>
      <c r="C9" s="540"/>
      <c r="D9" s="539"/>
      <c r="E9" s="539"/>
      <c r="F9" s="539"/>
      <c r="G9" s="539"/>
      <c r="H9" s="539"/>
      <c r="I9" s="539"/>
      <c r="J9" s="539"/>
      <c r="K9" s="539"/>
      <c r="L9" s="417"/>
      <c r="M9" s="167"/>
      <c r="N9" s="167"/>
    </row>
    <row r="10" spans="1:14" ht="16" x14ac:dyDescent="0.2">
      <c r="A10" s="551"/>
      <c r="B10" s="586"/>
      <c r="C10" s="540"/>
      <c r="D10" s="539"/>
      <c r="E10" s="539"/>
      <c r="F10" s="539"/>
      <c r="G10" s="539"/>
      <c r="H10" s="539"/>
      <c r="I10" s="539"/>
      <c r="J10" s="539"/>
      <c r="K10" s="539"/>
      <c r="L10" s="417"/>
      <c r="M10" s="167"/>
      <c r="N10" s="167"/>
    </row>
    <row r="11" spans="1:14" ht="16" x14ac:dyDescent="0.2">
      <c r="A11" s="551"/>
      <c r="B11" s="553"/>
      <c r="C11" s="540"/>
      <c r="D11" s="539"/>
      <c r="E11" s="539"/>
      <c r="F11" s="539"/>
      <c r="G11" s="539"/>
      <c r="H11" s="539"/>
      <c r="I11" s="539"/>
      <c r="J11" s="539"/>
      <c r="K11" s="539"/>
      <c r="L11" s="196"/>
      <c r="M11" s="401"/>
      <c r="N11" s="401"/>
    </row>
    <row r="12" spans="1:14" ht="16" x14ac:dyDescent="0.2">
      <c r="A12" s="551"/>
      <c r="B12" s="553"/>
      <c r="C12" s="540"/>
      <c r="D12" s="539"/>
      <c r="E12" s="539"/>
      <c r="F12" s="539"/>
      <c r="G12" s="539"/>
      <c r="H12" s="539"/>
      <c r="I12" s="539"/>
      <c r="J12" s="539"/>
      <c r="K12" s="539"/>
      <c r="L12" s="196"/>
      <c r="M12" s="401"/>
      <c r="N12" s="401"/>
    </row>
    <row r="13" spans="1:14" ht="16" x14ac:dyDescent="0.2">
      <c r="A13" s="551"/>
      <c r="B13" s="553"/>
      <c r="C13" s="540"/>
      <c r="D13" s="539"/>
      <c r="E13" s="539"/>
      <c r="F13" s="539"/>
      <c r="G13" s="539"/>
      <c r="H13" s="539"/>
      <c r="I13" s="539"/>
      <c r="J13" s="539"/>
      <c r="K13" s="539"/>
      <c r="L13" s="196"/>
      <c r="M13" s="401"/>
      <c r="N13" s="401"/>
    </row>
    <row r="14" spans="1:14" ht="16" x14ac:dyDescent="0.2">
      <c r="A14" s="551"/>
      <c r="B14" s="553"/>
      <c r="C14" s="540"/>
      <c r="D14" s="539"/>
      <c r="E14" s="539"/>
      <c r="F14" s="539"/>
      <c r="G14" s="539"/>
      <c r="H14" s="539"/>
      <c r="I14" s="539"/>
      <c r="J14" s="539"/>
      <c r="K14" s="539"/>
      <c r="L14" s="196"/>
      <c r="M14" s="401"/>
      <c r="N14" s="401"/>
    </row>
    <row r="15" spans="1:14" ht="16" x14ac:dyDescent="0.2">
      <c r="A15" s="551"/>
      <c r="B15" s="553"/>
      <c r="C15" s="540"/>
      <c r="D15" s="539"/>
      <c r="E15" s="539"/>
      <c r="F15" s="539"/>
      <c r="G15" s="539"/>
      <c r="H15" s="539"/>
      <c r="I15" s="539"/>
      <c r="J15" s="539"/>
      <c r="K15" s="539"/>
      <c r="L15" s="196"/>
      <c r="M15" s="401"/>
      <c r="N15" s="401"/>
    </row>
    <row r="16" spans="1:14" ht="16" x14ac:dyDescent="0.2">
      <c r="A16" s="551"/>
      <c r="B16" s="553"/>
      <c r="C16" s="540"/>
      <c r="D16" s="539"/>
      <c r="E16" s="539"/>
      <c r="F16" s="539"/>
      <c r="G16" s="539"/>
      <c r="H16" s="539"/>
      <c r="I16" s="539"/>
      <c r="J16" s="539"/>
      <c r="K16" s="539"/>
      <c r="L16" s="196"/>
      <c r="M16" s="401"/>
      <c r="N16" s="401"/>
    </row>
    <row r="17" spans="1:14" ht="16" x14ac:dyDescent="0.2">
      <c r="A17" s="551"/>
      <c r="B17" s="553"/>
      <c r="C17" s="540"/>
      <c r="D17" s="539"/>
      <c r="E17" s="539"/>
      <c r="F17" s="539"/>
      <c r="G17" s="539"/>
      <c r="H17" s="539"/>
      <c r="I17" s="539"/>
      <c r="J17" s="539"/>
      <c r="K17" s="539"/>
      <c r="L17" s="196"/>
      <c r="M17" s="401"/>
      <c r="N17" s="401"/>
    </row>
    <row r="18" spans="1:14" ht="16" x14ac:dyDescent="0.2">
      <c r="A18" s="551"/>
      <c r="B18" s="553"/>
      <c r="C18" s="540"/>
      <c r="D18" s="539"/>
      <c r="E18" s="539"/>
      <c r="F18" s="539"/>
      <c r="G18" s="539"/>
      <c r="H18" s="539"/>
      <c r="I18" s="539"/>
      <c r="J18" s="539"/>
      <c r="K18" s="539"/>
      <c r="L18" s="196"/>
      <c r="M18" s="401"/>
      <c r="N18" s="401"/>
    </row>
    <row r="19" spans="1:14" ht="16" x14ac:dyDescent="0.2">
      <c r="A19" s="551"/>
      <c r="B19" s="609"/>
      <c r="C19" s="540"/>
      <c r="D19" s="539"/>
      <c r="E19" s="539"/>
      <c r="F19" s="539"/>
      <c r="G19" s="539"/>
      <c r="H19" s="539"/>
      <c r="I19" s="539"/>
      <c r="J19" s="539"/>
      <c r="K19" s="539"/>
      <c r="L19" s="196"/>
      <c r="M19" s="401"/>
      <c r="N19" s="401"/>
    </row>
    <row r="20" spans="1:14" ht="16" x14ac:dyDescent="0.2">
      <c r="A20" s="551"/>
      <c r="B20" s="553"/>
      <c r="C20" s="540"/>
      <c r="D20" s="539"/>
      <c r="E20" s="539"/>
      <c r="F20" s="539"/>
      <c r="G20" s="539"/>
      <c r="H20" s="539"/>
      <c r="I20" s="539"/>
      <c r="J20" s="539"/>
      <c r="K20" s="539"/>
      <c r="L20" s="196"/>
      <c r="M20" s="401"/>
      <c r="N20" s="167"/>
    </row>
    <row r="21" spans="1:14" ht="16" x14ac:dyDescent="0.2">
      <c r="A21" s="551"/>
      <c r="B21" s="553"/>
      <c r="C21" s="540"/>
      <c r="D21" s="539"/>
      <c r="E21" s="539"/>
      <c r="F21" s="539"/>
      <c r="G21" s="539"/>
      <c r="H21" s="539"/>
      <c r="I21" s="539"/>
      <c r="J21" s="539"/>
      <c r="K21" s="539"/>
      <c r="L21" s="417"/>
      <c r="M21" s="167"/>
      <c r="N21" s="401"/>
    </row>
    <row r="22" spans="1:14" ht="16" x14ac:dyDescent="0.2">
      <c r="A22" s="551"/>
      <c r="B22" s="554"/>
      <c r="C22" s="540"/>
      <c r="D22" s="395"/>
      <c r="E22" s="395"/>
      <c r="F22" s="395"/>
      <c r="G22" s="395"/>
      <c r="H22" s="395"/>
      <c r="I22" s="395"/>
      <c r="J22" s="395"/>
      <c r="K22" s="395"/>
      <c r="L22" s="196"/>
      <c r="M22" s="401"/>
      <c r="N22" s="167"/>
    </row>
    <row r="23" spans="1:14" ht="16" x14ac:dyDescent="0.2">
      <c r="A23" s="551"/>
      <c r="B23" s="763"/>
      <c r="C23" s="763"/>
      <c r="D23" s="395"/>
      <c r="E23" s="395"/>
      <c r="F23" s="395"/>
      <c r="G23" s="395"/>
      <c r="H23" s="395"/>
      <c r="I23" s="395"/>
      <c r="J23" s="395"/>
      <c r="K23" s="395"/>
      <c r="L23" s="417"/>
      <c r="M23" s="167"/>
      <c r="N23" s="167"/>
    </row>
    <row r="24" spans="1:14" ht="16" x14ac:dyDescent="0.2">
      <c r="A24" s="413"/>
      <c r="B24" s="552"/>
      <c r="C24" s="540"/>
      <c r="D24" s="395"/>
      <c r="E24" s="395"/>
      <c r="F24" s="395"/>
      <c r="G24" s="395"/>
      <c r="H24" s="395"/>
      <c r="I24" s="395"/>
      <c r="J24" s="395"/>
      <c r="K24" s="395"/>
      <c r="L24" s="417"/>
      <c r="M24" s="167"/>
      <c r="N24" s="167"/>
    </row>
  </sheetData>
  <autoFilter ref="A1:N6" xr:uid="{00000000-0001-0000-0B00-000000000000}">
    <sortState xmlns:xlrd2="http://schemas.microsoft.com/office/spreadsheetml/2017/richdata2" ref="A2:N6">
      <sortCondition ref="A1:A6"/>
    </sortState>
  </autoFilter>
  <mergeCells count="1">
    <mergeCell ref="B23:C23"/>
  </mergeCells>
  <phoneticPr fontId="188" type="noConversion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>
    <pageSetUpPr fitToPage="1"/>
  </sheetPr>
  <dimension ref="A1:N26"/>
  <sheetViews>
    <sheetView zoomScale="90" zoomScaleNormal="90" workbookViewId="0">
      <pane ySplit="1" topLeftCell="A2" activePane="bottomLeft" state="frozen"/>
      <selection activeCell="C14" sqref="C14"/>
      <selection pane="bottomLeft" activeCell="K20" sqref="K20"/>
    </sheetView>
  </sheetViews>
  <sheetFormatPr baseColWidth="10" defaultColWidth="9.1640625" defaultRowHeight="15" x14ac:dyDescent="0.2"/>
  <cols>
    <col min="1" max="1" width="4.1640625" style="312" bestFit="1" customWidth="1"/>
    <col min="2" max="2" width="10" style="312" customWidth="1"/>
    <col min="3" max="3" width="35.5" style="324" bestFit="1" customWidth="1"/>
    <col min="4" max="4" width="6.5" style="326" bestFit="1" customWidth="1"/>
    <col min="5" max="5" width="9" style="326" bestFit="1" customWidth="1"/>
    <col min="6" max="6" width="3.5" style="326" bestFit="1" customWidth="1"/>
    <col min="7" max="7" width="3" style="326" bestFit="1" customWidth="1"/>
    <col min="8" max="8" width="5.5" style="326" customWidth="1"/>
    <col min="9" max="9" width="17.83203125" style="326" bestFit="1" customWidth="1"/>
    <col min="10" max="10" width="12.83203125" style="326" bestFit="1" customWidth="1"/>
    <col min="11" max="11" width="13.6640625" style="326" bestFit="1" customWidth="1"/>
    <col min="12" max="12" width="14.6640625" style="312" bestFit="1" customWidth="1"/>
    <col min="13" max="13" width="12.33203125" style="312" bestFit="1" customWidth="1"/>
    <col min="14" max="14" width="8.6640625" style="312" customWidth="1"/>
    <col min="15" max="16384" width="9.1640625" style="312"/>
  </cols>
  <sheetData>
    <row r="1" spans="1:14" ht="34" x14ac:dyDescent="0.2">
      <c r="A1" s="274" t="s">
        <v>0</v>
      </c>
      <c r="B1" s="275" t="s">
        <v>75</v>
      </c>
      <c r="C1" s="275" t="s">
        <v>76</v>
      </c>
      <c r="D1" s="276" t="s">
        <v>2</v>
      </c>
      <c r="E1" s="275" t="s">
        <v>3</v>
      </c>
      <c r="F1" s="275" t="s">
        <v>4</v>
      </c>
      <c r="G1" s="275" t="s">
        <v>5</v>
      </c>
      <c r="H1" s="275" t="s">
        <v>6</v>
      </c>
      <c r="I1" s="275" t="s">
        <v>490</v>
      </c>
      <c r="J1" s="186" t="s">
        <v>8</v>
      </c>
      <c r="K1" s="187" t="s">
        <v>9</v>
      </c>
      <c r="L1" s="277" t="s">
        <v>84</v>
      </c>
      <c r="M1" s="278" t="s">
        <v>77</v>
      </c>
      <c r="N1" s="279" t="s">
        <v>78</v>
      </c>
    </row>
    <row r="2" spans="1:14" x14ac:dyDescent="0.2">
      <c r="A2" s="309">
        <v>1</v>
      </c>
      <c r="B2" s="529" t="s">
        <v>345</v>
      </c>
      <c r="C2" s="447" t="s">
        <v>478</v>
      </c>
      <c r="D2" s="527" t="s">
        <v>30</v>
      </c>
      <c r="E2" s="309" t="s">
        <v>27</v>
      </c>
      <c r="F2" s="309">
        <v>40</v>
      </c>
      <c r="G2" s="309">
        <v>20</v>
      </c>
      <c r="H2" s="309">
        <v>1</v>
      </c>
      <c r="I2" s="289">
        <f>F2*G2</f>
        <v>800</v>
      </c>
      <c r="J2" s="289">
        <v>20.71584</v>
      </c>
      <c r="K2" s="289">
        <v>78.604839999999996</v>
      </c>
      <c r="L2" s="309">
        <f>25*I2</f>
        <v>20000</v>
      </c>
      <c r="M2" s="289">
        <f>30*I2</f>
        <v>24000</v>
      </c>
      <c r="N2" s="289">
        <f>35*I2</f>
        <v>28000</v>
      </c>
    </row>
    <row r="3" spans="1:14" s="532" customFormat="1" x14ac:dyDescent="0.2">
      <c r="A3" s="534">
        <v>2</v>
      </c>
      <c r="B3" s="537" t="s">
        <v>345</v>
      </c>
      <c r="C3" s="447" t="s">
        <v>341</v>
      </c>
      <c r="D3" s="534" t="s">
        <v>30</v>
      </c>
      <c r="E3" s="534" t="s">
        <v>27</v>
      </c>
      <c r="F3" s="534">
        <v>20</v>
      </c>
      <c r="G3" s="534">
        <v>20</v>
      </c>
      <c r="H3" s="534">
        <v>1</v>
      </c>
      <c r="I3" s="515">
        <f>F3*G3</f>
        <v>400</v>
      </c>
      <c r="J3" s="515">
        <v>20.735949999999999</v>
      </c>
      <c r="K3" s="515">
        <v>78.599189999999993</v>
      </c>
      <c r="L3" s="534">
        <f>25*I3</f>
        <v>10000</v>
      </c>
      <c r="M3" s="515">
        <f>30*I3</f>
        <v>12000</v>
      </c>
      <c r="N3" s="515">
        <f>35*I3</f>
        <v>14000</v>
      </c>
    </row>
    <row r="4" spans="1:14" s="532" customFormat="1" x14ac:dyDescent="0.2">
      <c r="A4" s="538">
        <v>3</v>
      </c>
      <c r="B4" s="537" t="s">
        <v>345</v>
      </c>
      <c r="C4" s="447" t="s">
        <v>342</v>
      </c>
      <c r="D4" s="534" t="s">
        <v>30</v>
      </c>
      <c r="E4" s="534" t="s">
        <v>27</v>
      </c>
      <c r="F4" s="534">
        <v>20</v>
      </c>
      <c r="G4" s="534">
        <v>20</v>
      </c>
      <c r="H4" s="534">
        <v>1</v>
      </c>
      <c r="I4" s="515">
        <f>F4*G4</f>
        <v>400</v>
      </c>
      <c r="J4" s="515">
        <v>20.735949999999999</v>
      </c>
      <c r="K4" s="515">
        <v>78.599180000000004</v>
      </c>
      <c r="L4" s="534">
        <f>25*I4</f>
        <v>10000</v>
      </c>
      <c r="M4" s="515">
        <f>30*I4</f>
        <v>12000</v>
      </c>
      <c r="N4" s="515">
        <f>35*I4</f>
        <v>14000</v>
      </c>
    </row>
    <row r="5" spans="1:14" ht="30" x14ac:dyDescent="0.2">
      <c r="A5" s="309">
        <v>4</v>
      </c>
      <c r="B5" s="310" t="s">
        <v>345</v>
      </c>
      <c r="C5" s="447" t="s">
        <v>343</v>
      </c>
      <c r="D5" s="309" t="s">
        <v>30</v>
      </c>
      <c r="E5" s="309" t="s">
        <v>27</v>
      </c>
      <c r="F5" s="309">
        <v>25</v>
      </c>
      <c r="G5" s="309">
        <v>25</v>
      </c>
      <c r="H5" s="309">
        <v>1</v>
      </c>
      <c r="I5" s="289">
        <f>F5*G5</f>
        <v>625</v>
      </c>
      <c r="J5" s="289">
        <v>20.73085</v>
      </c>
      <c r="K5" s="289">
        <v>78.592010000000002</v>
      </c>
      <c r="L5" s="309">
        <f>25*I5</f>
        <v>15625</v>
      </c>
      <c r="M5" s="289">
        <f>30*I5</f>
        <v>18750</v>
      </c>
      <c r="N5" s="289">
        <v>22000</v>
      </c>
    </row>
    <row r="6" spans="1:14" ht="34" x14ac:dyDescent="0.2">
      <c r="A6" s="309">
        <v>5</v>
      </c>
      <c r="B6" s="627" t="s">
        <v>345</v>
      </c>
      <c r="C6" s="708" t="s">
        <v>344</v>
      </c>
      <c r="D6" s="309" t="s">
        <v>30</v>
      </c>
      <c r="E6" s="309" t="s">
        <v>27</v>
      </c>
      <c r="F6" s="309">
        <v>25</v>
      </c>
      <c r="G6" s="309">
        <v>25</v>
      </c>
      <c r="H6" s="309">
        <v>1</v>
      </c>
      <c r="I6" s="289">
        <f>F6*G6</f>
        <v>625</v>
      </c>
      <c r="J6" s="289">
        <v>20.73085</v>
      </c>
      <c r="K6" s="289">
        <v>78.591980000000007</v>
      </c>
      <c r="L6" s="309">
        <f>25*I6</f>
        <v>15625</v>
      </c>
      <c r="M6" s="289">
        <f>30*I6</f>
        <v>18750</v>
      </c>
      <c r="N6" s="289">
        <v>22000</v>
      </c>
    </row>
    <row r="9" spans="1:14" x14ac:dyDescent="0.2">
      <c r="C9" s="312"/>
      <c r="D9" s="312"/>
      <c r="E9" s="312"/>
      <c r="F9" s="312"/>
      <c r="G9" s="312"/>
      <c r="H9" s="312"/>
      <c r="I9" s="312"/>
      <c r="J9" s="312"/>
      <c r="K9" s="312"/>
    </row>
    <row r="10" spans="1:14" x14ac:dyDescent="0.2">
      <c r="A10" s="551"/>
      <c r="C10" s="312"/>
      <c r="D10" s="312"/>
      <c r="E10" s="312"/>
      <c r="F10" s="312"/>
      <c r="G10" s="312"/>
      <c r="H10" s="312"/>
      <c r="I10" s="312"/>
      <c r="J10" s="312"/>
      <c r="K10" s="312"/>
    </row>
    <row r="11" spans="1:14" x14ac:dyDescent="0.2">
      <c r="A11" s="551"/>
      <c r="C11" s="312"/>
      <c r="D11" s="312"/>
      <c r="E11" s="312"/>
      <c r="F11" s="312"/>
      <c r="G11" s="312"/>
      <c r="H11" s="312"/>
      <c r="I11" s="312"/>
      <c r="J11" s="312"/>
      <c r="K11" s="312"/>
    </row>
    <row r="12" spans="1:14" x14ac:dyDescent="0.2">
      <c r="A12" s="551"/>
      <c r="C12" s="312"/>
      <c r="D12" s="312"/>
      <c r="E12" s="312"/>
      <c r="F12" s="312"/>
      <c r="G12" s="312"/>
      <c r="H12" s="312"/>
      <c r="I12" s="312"/>
      <c r="J12" s="312"/>
      <c r="K12" s="312"/>
    </row>
    <row r="13" spans="1:14" x14ac:dyDescent="0.2">
      <c r="A13" s="551"/>
      <c r="C13" s="312"/>
      <c r="D13" s="312"/>
      <c r="E13" s="312"/>
      <c r="F13" s="312"/>
      <c r="G13" s="312"/>
      <c r="H13" s="312"/>
      <c r="I13" s="312"/>
      <c r="J13" s="312"/>
      <c r="K13" s="312"/>
    </row>
    <row r="14" spans="1:14" x14ac:dyDescent="0.2">
      <c r="A14" s="551"/>
      <c r="C14" s="312"/>
      <c r="D14" s="312"/>
      <c r="E14" s="312"/>
      <c r="F14" s="312"/>
      <c r="G14" s="312"/>
      <c r="H14" s="312"/>
      <c r="I14" s="312"/>
      <c r="J14" s="312"/>
      <c r="K14" s="312"/>
    </row>
    <row r="15" spans="1:14" x14ac:dyDescent="0.2">
      <c r="A15" s="551"/>
      <c r="C15" s="312"/>
      <c r="D15" s="312"/>
      <c r="E15" s="312"/>
      <c r="F15" s="312"/>
      <c r="G15" s="312"/>
      <c r="H15" s="312"/>
      <c r="I15" s="312"/>
      <c r="J15" s="312"/>
      <c r="K15" s="312"/>
    </row>
    <row r="16" spans="1:14" x14ac:dyDescent="0.2">
      <c r="A16" s="551"/>
      <c r="C16" s="312"/>
      <c r="D16" s="312"/>
      <c r="E16" s="312"/>
      <c r="F16" s="312"/>
      <c r="G16" s="312"/>
      <c r="H16" s="312"/>
      <c r="I16" s="312"/>
      <c r="J16" s="312"/>
      <c r="K16" s="312"/>
    </row>
    <row r="17" spans="1:11" x14ac:dyDescent="0.2">
      <c r="A17" s="551"/>
      <c r="C17" s="312"/>
      <c r="D17" s="312"/>
      <c r="E17" s="312"/>
      <c r="F17" s="312"/>
      <c r="G17" s="312"/>
      <c r="H17" s="312"/>
      <c r="I17" s="312"/>
      <c r="J17" s="312"/>
      <c r="K17" s="312"/>
    </row>
    <row r="18" spans="1:11" x14ac:dyDescent="0.2">
      <c r="A18" s="551"/>
      <c r="C18" s="312"/>
      <c r="D18" s="312"/>
      <c r="E18" s="312"/>
      <c r="F18" s="312"/>
      <c r="G18" s="312"/>
      <c r="H18" s="312"/>
      <c r="I18" s="312"/>
      <c r="J18" s="312"/>
      <c r="K18" s="312"/>
    </row>
    <row r="19" spans="1:11" x14ac:dyDescent="0.2">
      <c r="A19" s="551"/>
      <c r="C19" s="312"/>
      <c r="D19" s="312"/>
      <c r="E19" s="312"/>
      <c r="F19" s="312"/>
      <c r="G19" s="312"/>
      <c r="H19" s="312"/>
      <c r="I19" s="312"/>
      <c r="J19" s="312"/>
      <c r="K19" s="312"/>
    </row>
    <row r="20" spans="1:11" x14ac:dyDescent="0.2">
      <c r="A20" s="551"/>
      <c r="C20" s="312"/>
      <c r="D20" s="312"/>
      <c r="E20" s="312"/>
      <c r="F20" s="312"/>
      <c r="G20" s="312"/>
      <c r="H20" s="312"/>
      <c r="I20" s="312"/>
      <c r="J20" s="312"/>
      <c r="K20" s="312"/>
    </row>
    <row r="21" spans="1:11" x14ac:dyDescent="0.2">
      <c r="A21" s="551"/>
      <c r="C21" s="312"/>
      <c r="D21" s="312"/>
      <c r="E21" s="312"/>
      <c r="F21" s="312"/>
      <c r="G21" s="312"/>
      <c r="H21" s="312"/>
      <c r="I21" s="312"/>
      <c r="J21" s="312"/>
      <c r="K21" s="312"/>
    </row>
    <row r="22" spans="1:11" x14ac:dyDescent="0.2">
      <c r="A22" s="551"/>
      <c r="C22" s="312"/>
      <c r="D22" s="312"/>
      <c r="E22" s="312"/>
      <c r="F22" s="312"/>
      <c r="G22" s="312"/>
      <c r="H22" s="312"/>
      <c r="I22" s="312"/>
      <c r="J22" s="312"/>
      <c r="K22" s="312"/>
    </row>
    <row r="23" spans="1:11" x14ac:dyDescent="0.2">
      <c r="A23" s="551"/>
      <c r="C23" s="312"/>
      <c r="D23" s="312"/>
      <c r="E23" s="312"/>
      <c r="F23" s="312"/>
      <c r="G23" s="312"/>
      <c r="H23" s="312"/>
      <c r="I23" s="312"/>
      <c r="J23" s="312"/>
      <c r="K23" s="312"/>
    </row>
    <row r="24" spans="1:11" x14ac:dyDescent="0.2">
      <c r="A24" s="413"/>
      <c r="C24" s="312"/>
      <c r="D24" s="312"/>
      <c r="E24" s="312"/>
      <c r="F24" s="312"/>
      <c r="G24" s="312"/>
      <c r="H24" s="312"/>
      <c r="I24" s="312"/>
      <c r="J24" s="312"/>
      <c r="K24" s="312"/>
    </row>
    <row r="25" spans="1:11" x14ac:dyDescent="0.2">
      <c r="C25" s="312"/>
      <c r="D25" s="312"/>
      <c r="E25" s="312"/>
      <c r="F25" s="312"/>
      <c r="G25" s="312"/>
      <c r="H25" s="312"/>
      <c r="I25" s="312"/>
      <c r="J25" s="312"/>
      <c r="K25" s="312"/>
    </row>
    <row r="26" spans="1:11" x14ac:dyDescent="0.2">
      <c r="C26" s="312"/>
      <c r="D26" s="312"/>
      <c r="E26" s="312"/>
      <c r="F26" s="312"/>
      <c r="G26" s="312"/>
      <c r="H26" s="312"/>
      <c r="I26" s="312"/>
      <c r="J26" s="312"/>
      <c r="K26" s="312"/>
    </row>
  </sheetData>
  <autoFilter ref="A1:N6" xr:uid="{00000000-0009-0000-0000-00000C000000}"/>
  <phoneticPr fontId="172" type="noConversion"/>
  <pageMargins left="0.70866141732283472" right="0" top="0.74803149606299213" bottom="0" header="0.31496062992125984" footer="0.31496062992125984"/>
  <pageSetup paperSize="9" scale="9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IH92"/>
  <sheetViews>
    <sheetView zoomScale="80" zoomScaleNormal="80" workbookViewId="0">
      <pane ySplit="1" topLeftCell="A2" activePane="bottomLeft" state="frozen"/>
      <selection activeCell="Q7" sqref="Q7"/>
      <selection pane="bottomLeft" activeCell="C80" sqref="C80"/>
    </sheetView>
  </sheetViews>
  <sheetFormatPr baseColWidth="10" defaultColWidth="8.6640625" defaultRowHeight="15" x14ac:dyDescent="0.2"/>
  <cols>
    <col min="1" max="1" width="7" style="395" customWidth="1"/>
    <col min="2" max="2" width="9.5" style="395" customWidth="1"/>
    <col min="3" max="3" width="82.5" style="329" customWidth="1"/>
    <col min="4" max="4" width="9.83203125" style="395" customWidth="1"/>
    <col min="5" max="5" width="13.6640625" style="395" customWidth="1"/>
    <col min="6" max="6" width="16.83203125" style="395" bestFit="1" customWidth="1"/>
    <col min="7" max="7" width="3.5" style="395" bestFit="1" customWidth="1"/>
    <col min="8" max="8" width="5.83203125" style="395" customWidth="1"/>
    <col min="9" max="9" width="5.33203125" style="395" customWidth="1"/>
    <col min="10" max="10" width="14.83203125" style="395" customWidth="1"/>
    <col min="11" max="11" width="8.33203125" style="395" customWidth="1"/>
    <col min="12" max="12" width="15" style="395" customWidth="1"/>
    <col min="13" max="13" width="10.5" style="395" customWidth="1"/>
    <col min="14" max="14" width="14.83203125" style="395" bestFit="1" customWidth="1"/>
    <col min="15" max="15" width="15.6640625" style="395" bestFit="1" customWidth="1"/>
    <col min="16" max="16" width="19" style="395" bestFit="1" customWidth="1"/>
    <col min="17" max="17" width="10.6640625" style="395" bestFit="1" customWidth="1"/>
    <col min="18" max="18" width="15.5" style="395" customWidth="1"/>
    <col min="19" max="19" width="12.33203125" style="395" customWidth="1"/>
    <col min="20" max="20" width="9.5" style="395" customWidth="1"/>
    <col min="21" max="21" width="10.1640625" style="395" customWidth="1"/>
    <col min="22" max="16384" width="8.6640625" style="324"/>
  </cols>
  <sheetData>
    <row r="1" spans="1:28" ht="53.25" customHeight="1" x14ac:dyDescent="0.2">
      <c r="A1" s="291" t="s">
        <v>107</v>
      </c>
      <c r="B1" s="291" t="s">
        <v>395</v>
      </c>
      <c r="C1" s="291" t="s">
        <v>840</v>
      </c>
      <c r="D1" s="291" t="s">
        <v>360</v>
      </c>
      <c r="E1" s="291" t="s">
        <v>3</v>
      </c>
      <c r="F1" s="291" t="s">
        <v>419</v>
      </c>
      <c r="G1" s="291"/>
      <c r="H1" s="291" t="s">
        <v>4</v>
      </c>
      <c r="I1" s="291" t="s">
        <v>5</v>
      </c>
      <c r="J1" s="291" t="s">
        <v>839</v>
      </c>
      <c r="K1" s="291" t="s">
        <v>824</v>
      </c>
      <c r="L1" s="291" t="s">
        <v>821</v>
      </c>
      <c r="M1" s="291" t="s">
        <v>364</v>
      </c>
      <c r="N1" s="291" t="s">
        <v>8</v>
      </c>
      <c r="O1" s="291" t="s">
        <v>9</v>
      </c>
      <c r="P1" s="291" t="s">
        <v>871</v>
      </c>
      <c r="Q1" s="291" t="s">
        <v>361</v>
      </c>
      <c r="R1" s="291" t="s">
        <v>873</v>
      </c>
      <c r="S1" s="291" t="s">
        <v>11</v>
      </c>
      <c r="T1" s="291" t="s">
        <v>873</v>
      </c>
      <c r="U1" s="291" t="s">
        <v>881</v>
      </c>
    </row>
    <row r="2" spans="1:28" ht="16" x14ac:dyDescent="0.2">
      <c r="A2" s="618">
        <v>1</v>
      </c>
      <c r="B2" s="618" t="s">
        <v>402</v>
      </c>
      <c r="C2" s="658" t="s">
        <v>771</v>
      </c>
      <c r="D2" s="618" t="s">
        <v>40</v>
      </c>
      <c r="E2" s="618" t="s">
        <v>820</v>
      </c>
      <c r="F2" s="618">
        <v>71.3</v>
      </c>
      <c r="G2" s="618">
        <v>93</v>
      </c>
      <c r="H2" s="618">
        <v>6</v>
      </c>
      <c r="I2" s="618">
        <v>8</v>
      </c>
      <c r="J2" s="618" t="s">
        <v>772</v>
      </c>
      <c r="K2" s="618">
        <f t="shared" ref="K2:K17" si="0">L2/2</f>
        <v>7</v>
      </c>
      <c r="L2" s="618">
        <v>14</v>
      </c>
      <c r="M2" s="618">
        <f t="shared" ref="M2:M33" si="1">H2*I2*L2</f>
        <v>672</v>
      </c>
      <c r="N2" s="620">
        <v>21.148213361433498</v>
      </c>
      <c r="O2" s="620">
        <v>79.136704984992406</v>
      </c>
      <c r="P2" s="618">
        <v>11000</v>
      </c>
      <c r="Q2" s="618">
        <f t="shared" ref="Q2:Q33" si="2">P2*K2</f>
        <v>77000</v>
      </c>
      <c r="R2" s="618">
        <v>13500</v>
      </c>
      <c r="S2" s="618">
        <f t="shared" ref="S2:S33" si="3">R2*K2</f>
        <v>94500</v>
      </c>
      <c r="T2" s="618">
        <v>20000</v>
      </c>
      <c r="U2" s="618">
        <f t="shared" ref="U2:U33" si="4">T2*K2</f>
        <v>140000</v>
      </c>
    </row>
    <row r="3" spans="1:28" ht="16" x14ac:dyDescent="0.2">
      <c r="A3" s="621">
        <v>2</v>
      </c>
      <c r="B3" s="621" t="s">
        <v>402</v>
      </c>
      <c r="C3" s="659" t="s">
        <v>769</v>
      </c>
      <c r="D3" s="621" t="s">
        <v>40</v>
      </c>
      <c r="E3" s="621" t="s">
        <v>820</v>
      </c>
      <c r="F3" s="621">
        <v>71.3</v>
      </c>
      <c r="G3" s="621">
        <v>93</v>
      </c>
      <c r="H3" s="621">
        <v>6</v>
      </c>
      <c r="I3" s="621">
        <v>8</v>
      </c>
      <c r="J3" s="621" t="s">
        <v>770</v>
      </c>
      <c r="K3" s="621">
        <f t="shared" si="0"/>
        <v>9</v>
      </c>
      <c r="L3" s="621">
        <v>18</v>
      </c>
      <c r="M3" s="621">
        <f t="shared" si="1"/>
        <v>864</v>
      </c>
      <c r="N3" s="621">
        <v>21.148099999999999</v>
      </c>
      <c r="O3" s="621">
        <v>79.134600000000006</v>
      </c>
      <c r="P3" s="621">
        <v>11000</v>
      </c>
      <c r="Q3" s="621">
        <f t="shared" si="2"/>
        <v>99000</v>
      </c>
      <c r="R3" s="621">
        <v>13500</v>
      </c>
      <c r="S3" s="621">
        <f t="shared" si="3"/>
        <v>121500</v>
      </c>
      <c r="T3" s="621">
        <v>20000</v>
      </c>
      <c r="U3" s="621">
        <f t="shared" si="4"/>
        <v>180000</v>
      </c>
    </row>
    <row r="4" spans="1:28" s="598" customFormat="1" ht="16" x14ac:dyDescent="0.2">
      <c r="A4" s="618">
        <v>3</v>
      </c>
      <c r="B4" s="618" t="s">
        <v>402</v>
      </c>
      <c r="C4" s="634" t="s">
        <v>767</v>
      </c>
      <c r="D4" s="618" t="s">
        <v>40</v>
      </c>
      <c r="E4" s="618" t="s">
        <v>820</v>
      </c>
      <c r="F4" s="618">
        <v>71.3</v>
      </c>
      <c r="G4" s="618">
        <v>93</v>
      </c>
      <c r="H4" s="618">
        <v>6</v>
      </c>
      <c r="I4" s="618">
        <v>8</v>
      </c>
      <c r="J4" s="618" t="s">
        <v>768</v>
      </c>
      <c r="K4" s="618">
        <f t="shared" si="0"/>
        <v>7</v>
      </c>
      <c r="L4" s="618">
        <v>14</v>
      </c>
      <c r="M4" s="618">
        <f t="shared" si="1"/>
        <v>672</v>
      </c>
      <c r="N4" s="621">
        <v>21.148199999999999</v>
      </c>
      <c r="O4" s="621">
        <v>79.131399999999999</v>
      </c>
      <c r="P4" s="618">
        <v>11000</v>
      </c>
      <c r="Q4" s="618">
        <f t="shared" si="2"/>
        <v>77000</v>
      </c>
      <c r="R4" s="618">
        <v>13500</v>
      </c>
      <c r="S4" s="618">
        <f t="shared" si="3"/>
        <v>94500</v>
      </c>
      <c r="T4" s="618">
        <v>20000</v>
      </c>
      <c r="U4" s="618">
        <f t="shared" si="4"/>
        <v>140000</v>
      </c>
    </row>
    <row r="5" spans="1:28" s="598" customFormat="1" ht="16" x14ac:dyDescent="0.2">
      <c r="A5" s="618">
        <v>4</v>
      </c>
      <c r="B5" s="618" t="s">
        <v>402</v>
      </c>
      <c r="C5" s="659" t="s">
        <v>765</v>
      </c>
      <c r="D5" s="618" t="s">
        <v>40</v>
      </c>
      <c r="E5" s="618" t="s">
        <v>820</v>
      </c>
      <c r="F5" s="618">
        <v>71.3</v>
      </c>
      <c r="G5" s="618">
        <v>93</v>
      </c>
      <c r="H5" s="618">
        <v>6</v>
      </c>
      <c r="I5" s="618">
        <v>8</v>
      </c>
      <c r="J5" s="618" t="s">
        <v>766</v>
      </c>
      <c r="K5" s="618">
        <f t="shared" si="0"/>
        <v>7</v>
      </c>
      <c r="L5" s="618">
        <v>14</v>
      </c>
      <c r="M5" s="618">
        <f t="shared" si="1"/>
        <v>672</v>
      </c>
      <c r="N5" s="620">
        <v>21.148423000000001</v>
      </c>
      <c r="O5" s="620">
        <v>79.129812999999999</v>
      </c>
      <c r="P5" s="618">
        <v>11000</v>
      </c>
      <c r="Q5" s="618">
        <f t="shared" si="2"/>
        <v>77000</v>
      </c>
      <c r="R5" s="618">
        <v>13500</v>
      </c>
      <c r="S5" s="618">
        <f t="shared" si="3"/>
        <v>94500</v>
      </c>
      <c r="T5" s="618">
        <v>20000</v>
      </c>
      <c r="U5" s="618">
        <f t="shared" si="4"/>
        <v>140000</v>
      </c>
    </row>
    <row r="6" spans="1:28" ht="16" x14ac:dyDescent="0.2">
      <c r="A6" s="618">
        <v>5</v>
      </c>
      <c r="B6" s="618" t="s">
        <v>402</v>
      </c>
      <c r="C6" s="676" t="s">
        <v>763</v>
      </c>
      <c r="D6" s="618" t="s">
        <v>40</v>
      </c>
      <c r="E6" s="618" t="s">
        <v>820</v>
      </c>
      <c r="F6" s="618">
        <v>71.3</v>
      </c>
      <c r="G6" s="618">
        <v>93</v>
      </c>
      <c r="H6" s="618">
        <v>6</v>
      </c>
      <c r="I6" s="618">
        <v>8</v>
      </c>
      <c r="J6" s="618" t="s">
        <v>764</v>
      </c>
      <c r="K6" s="618">
        <f t="shared" si="0"/>
        <v>13</v>
      </c>
      <c r="L6" s="618">
        <v>26</v>
      </c>
      <c r="M6" s="618">
        <f t="shared" si="1"/>
        <v>1248</v>
      </c>
      <c r="N6" s="677">
        <v>21.148499999999999</v>
      </c>
      <c r="O6" s="677">
        <v>79.124610000000004</v>
      </c>
      <c r="P6" s="618">
        <v>11000</v>
      </c>
      <c r="Q6" s="618">
        <f t="shared" si="2"/>
        <v>143000</v>
      </c>
      <c r="R6" s="618">
        <v>13500</v>
      </c>
      <c r="S6" s="618">
        <f t="shared" si="3"/>
        <v>175500</v>
      </c>
      <c r="T6" s="618">
        <v>20000</v>
      </c>
      <c r="U6" s="618">
        <f t="shared" si="4"/>
        <v>260000</v>
      </c>
    </row>
    <row r="7" spans="1:28" s="395" customFormat="1" ht="16" x14ac:dyDescent="0.2">
      <c r="A7" s="618">
        <v>6</v>
      </c>
      <c r="B7" s="618" t="s">
        <v>402</v>
      </c>
      <c r="C7" s="684" t="s">
        <v>761</v>
      </c>
      <c r="D7" s="618" t="s">
        <v>40</v>
      </c>
      <c r="E7" s="618" t="s">
        <v>820</v>
      </c>
      <c r="F7" s="618">
        <v>71.3</v>
      </c>
      <c r="G7" s="618">
        <v>93</v>
      </c>
      <c r="H7" s="618">
        <v>6</v>
      </c>
      <c r="I7" s="618">
        <v>8</v>
      </c>
      <c r="J7" s="618" t="s">
        <v>762</v>
      </c>
      <c r="K7" s="618">
        <f>L7/2</f>
        <v>14</v>
      </c>
      <c r="L7" s="618">
        <v>28</v>
      </c>
      <c r="M7" s="618">
        <f>H7*I7*L7</f>
        <v>1344</v>
      </c>
      <c r="N7" s="618">
        <v>21.148900000000001</v>
      </c>
      <c r="O7" s="618">
        <v>79.118600000000001</v>
      </c>
      <c r="P7" s="618">
        <v>11000</v>
      </c>
      <c r="Q7" s="618">
        <f t="shared" si="2"/>
        <v>154000</v>
      </c>
      <c r="R7" s="618">
        <v>13500</v>
      </c>
      <c r="S7" s="618">
        <f t="shared" si="3"/>
        <v>189000</v>
      </c>
      <c r="T7" s="618">
        <v>20000</v>
      </c>
      <c r="U7" s="618">
        <f t="shared" si="4"/>
        <v>280000</v>
      </c>
    </row>
    <row r="8" spans="1:28" ht="16" x14ac:dyDescent="0.2">
      <c r="A8" s="618">
        <v>7</v>
      </c>
      <c r="B8" s="618" t="s">
        <v>402</v>
      </c>
      <c r="C8" s="660" t="s">
        <v>759</v>
      </c>
      <c r="D8" s="618" t="s">
        <v>40</v>
      </c>
      <c r="E8" s="618" t="s">
        <v>820</v>
      </c>
      <c r="F8" s="618">
        <v>71.3</v>
      </c>
      <c r="G8" s="618">
        <v>93</v>
      </c>
      <c r="H8" s="618">
        <v>6</v>
      </c>
      <c r="I8" s="618">
        <v>8</v>
      </c>
      <c r="J8" s="618" t="s">
        <v>760</v>
      </c>
      <c r="K8" s="618">
        <f t="shared" si="0"/>
        <v>9</v>
      </c>
      <c r="L8" s="618">
        <v>18</v>
      </c>
      <c r="M8" s="618">
        <f t="shared" si="1"/>
        <v>864</v>
      </c>
      <c r="N8" s="618">
        <v>21.148900000000001</v>
      </c>
      <c r="O8" s="618">
        <v>79.116200000000006</v>
      </c>
      <c r="P8" s="618">
        <v>11000</v>
      </c>
      <c r="Q8" s="618">
        <f t="shared" si="2"/>
        <v>99000</v>
      </c>
      <c r="R8" s="618">
        <v>13500</v>
      </c>
      <c r="S8" s="618">
        <f t="shared" si="3"/>
        <v>121500</v>
      </c>
      <c r="T8" s="618">
        <v>20000</v>
      </c>
      <c r="U8" s="618">
        <f t="shared" si="4"/>
        <v>180000</v>
      </c>
    </row>
    <row r="9" spans="1:28" ht="17" x14ac:dyDescent="0.2">
      <c r="A9" s="618">
        <v>8</v>
      </c>
      <c r="B9" s="618" t="s">
        <v>402</v>
      </c>
      <c r="C9" s="713" t="s">
        <v>757</v>
      </c>
      <c r="D9" s="618" t="s">
        <v>40</v>
      </c>
      <c r="E9" s="618" t="s">
        <v>820</v>
      </c>
      <c r="F9" s="618">
        <v>71.3</v>
      </c>
      <c r="G9" s="618">
        <v>93</v>
      </c>
      <c r="H9" s="629">
        <v>6</v>
      </c>
      <c r="I9" s="629">
        <v>8</v>
      </c>
      <c r="J9" s="618" t="s">
        <v>758</v>
      </c>
      <c r="K9" s="618">
        <f t="shared" si="0"/>
        <v>5</v>
      </c>
      <c r="L9" s="618">
        <v>10</v>
      </c>
      <c r="M9" s="618">
        <f t="shared" si="1"/>
        <v>480</v>
      </c>
      <c r="N9" s="618">
        <v>21.149100000000001</v>
      </c>
      <c r="O9" s="618">
        <v>79.114500000000007</v>
      </c>
      <c r="P9" s="618">
        <v>11000</v>
      </c>
      <c r="Q9" s="618">
        <f t="shared" si="2"/>
        <v>55000</v>
      </c>
      <c r="R9" s="618">
        <v>13500</v>
      </c>
      <c r="S9" s="618">
        <f t="shared" si="3"/>
        <v>67500</v>
      </c>
      <c r="T9" s="618">
        <v>20000</v>
      </c>
      <c r="U9" s="618">
        <f t="shared" si="4"/>
        <v>100000</v>
      </c>
      <c r="AB9" s="556"/>
    </row>
    <row r="10" spans="1:28" ht="16" x14ac:dyDescent="0.2">
      <c r="A10" s="618">
        <v>9</v>
      </c>
      <c r="B10" s="618" t="s">
        <v>402</v>
      </c>
      <c r="C10" s="645" t="s">
        <v>755</v>
      </c>
      <c r="D10" s="618" t="s">
        <v>40</v>
      </c>
      <c r="E10" s="618" t="s">
        <v>820</v>
      </c>
      <c r="F10" s="618">
        <v>71.3</v>
      </c>
      <c r="G10" s="618">
        <v>93</v>
      </c>
      <c r="H10" s="629">
        <v>6</v>
      </c>
      <c r="I10" s="629">
        <v>8</v>
      </c>
      <c r="J10" s="618" t="s">
        <v>756</v>
      </c>
      <c r="K10" s="618">
        <f t="shared" si="0"/>
        <v>7</v>
      </c>
      <c r="L10" s="618">
        <v>14</v>
      </c>
      <c r="M10" s="618">
        <f t="shared" si="1"/>
        <v>672</v>
      </c>
      <c r="N10" s="618">
        <v>21.1495</v>
      </c>
      <c r="O10" s="618">
        <v>79.112099999999998</v>
      </c>
      <c r="P10" s="618">
        <v>11000</v>
      </c>
      <c r="Q10" s="618">
        <f t="shared" si="2"/>
        <v>77000</v>
      </c>
      <c r="R10" s="618">
        <v>13500</v>
      </c>
      <c r="S10" s="618">
        <f t="shared" si="3"/>
        <v>94500</v>
      </c>
      <c r="T10" s="618">
        <v>20000</v>
      </c>
      <c r="U10" s="618">
        <f t="shared" si="4"/>
        <v>140000</v>
      </c>
    </row>
    <row r="11" spans="1:28" s="601" customFormat="1" ht="17" x14ac:dyDescent="0.2">
      <c r="A11" s="618">
        <v>10</v>
      </c>
      <c r="B11" s="618" t="s">
        <v>402</v>
      </c>
      <c r="C11" s="665" t="s">
        <v>753</v>
      </c>
      <c r="D11" s="618" t="s">
        <v>40</v>
      </c>
      <c r="E11" s="633" t="s">
        <v>820</v>
      </c>
      <c r="F11" s="618">
        <v>71.3</v>
      </c>
      <c r="G11" s="618">
        <v>93</v>
      </c>
      <c r="H11" s="629">
        <v>6</v>
      </c>
      <c r="I11" s="629">
        <v>8</v>
      </c>
      <c r="J11" s="618" t="s">
        <v>754</v>
      </c>
      <c r="K11" s="618">
        <f t="shared" si="0"/>
        <v>5</v>
      </c>
      <c r="L11" s="618">
        <v>10</v>
      </c>
      <c r="M11" s="618">
        <f t="shared" si="1"/>
        <v>480</v>
      </c>
      <c r="N11" s="618">
        <v>21.1496</v>
      </c>
      <c r="O11" s="618">
        <v>79.110399999999998</v>
      </c>
      <c r="P11" s="618">
        <v>11000</v>
      </c>
      <c r="Q11" s="618">
        <f t="shared" si="2"/>
        <v>55000</v>
      </c>
      <c r="R11" s="618">
        <v>13500</v>
      </c>
      <c r="S11" s="618">
        <f t="shared" si="3"/>
        <v>67500</v>
      </c>
      <c r="T11" s="618">
        <v>20000</v>
      </c>
      <c r="U11" s="618">
        <f t="shared" si="4"/>
        <v>100000</v>
      </c>
      <c r="AB11" s="611"/>
    </row>
    <row r="12" spans="1:28" s="598" customFormat="1" ht="16" x14ac:dyDescent="0.2">
      <c r="A12" s="618">
        <v>11</v>
      </c>
      <c r="B12" s="618" t="s">
        <v>402</v>
      </c>
      <c r="C12" s="645" t="s">
        <v>751</v>
      </c>
      <c r="D12" s="618" t="s">
        <v>40</v>
      </c>
      <c r="E12" s="618" t="s">
        <v>820</v>
      </c>
      <c r="F12" s="618">
        <v>71.3</v>
      </c>
      <c r="G12" s="618">
        <v>93</v>
      </c>
      <c r="H12" s="629">
        <v>6</v>
      </c>
      <c r="I12" s="629">
        <v>8</v>
      </c>
      <c r="J12" s="618" t="s">
        <v>752</v>
      </c>
      <c r="K12" s="618">
        <f t="shared" si="0"/>
        <v>9</v>
      </c>
      <c r="L12" s="618">
        <v>18</v>
      </c>
      <c r="M12" s="618">
        <f t="shared" si="1"/>
        <v>864</v>
      </c>
      <c r="N12" s="618">
        <v>21.150300000000001</v>
      </c>
      <c r="O12" s="618">
        <v>79.106300000000005</v>
      </c>
      <c r="P12" s="618">
        <v>12000</v>
      </c>
      <c r="Q12" s="618">
        <f t="shared" si="2"/>
        <v>108000</v>
      </c>
      <c r="R12" s="618">
        <v>15000</v>
      </c>
      <c r="S12" s="618">
        <f t="shared" si="3"/>
        <v>135000</v>
      </c>
      <c r="T12" s="618">
        <v>24000</v>
      </c>
      <c r="U12" s="618">
        <f t="shared" si="4"/>
        <v>216000</v>
      </c>
    </row>
    <row r="13" spans="1:28" s="678" customFormat="1" ht="16" x14ac:dyDescent="0.2">
      <c r="A13" s="618">
        <v>12</v>
      </c>
      <c r="B13" s="618" t="s">
        <v>402</v>
      </c>
      <c r="C13" s="704" t="s">
        <v>749</v>
      </c>
      <c r="D13" s="618" t="s">
        <v>40</v>
      </c>
      <c r="E13" s="618" t="s">
        <v>820</v>
      </c>
      <c r="F13" s="618">
        <v>71.3</v>
      </c>
      <c r="G13" s="618">
        <v>93</v>
      </c>
      <c r="H13" s="629">
        <v>6</v>
      </c>
      <c r="I13" s="629">
        <v>8</v>
      </c>
      <c r="J13" s="618" t="s">
        <v>750</v>
      </c>
      <c r="K13" s="618">
        <f t="shared" si="0"/>
        <v>7</v>
      </c>
      <c r="L13" s="618">
        <v>14</v>
      </c>
      <c r="M13" s="618">
        <f t="shared" si="1"/>
        <v>672</v>
      </c>
      <c r="N13" s="618">
        <v>21.15108</v>
      </c>
      <c r="O13" s="618">
        <v>79.102900000000005</v>
      </c>
      <c r="P13" s="618">
        <v>12000</v>
      </c>
      <c r="Q13" s="618">
        <f t="shared" si="2"/>
        <v>84000</v>
      </c>
      <c r="R13" s="618">
        <v>15000</v>
      </c>
      <c r="S13" s="618">
        <f t="shared" si="3"/>
        <v>105000</v>
      </c>
      <c r="T13" s="618">
        <v>24000</v>
      </c>
      <c r="U13" s="618">
        <f t="shared" si="4"/>
        <v>168000</v>
      </c>
    </row>
    <row r="14" spans="1:28" ht="16" x14ac:dyDescent="0.2">
      <c r="A14" s="618">
        <v>13</v>
      </c>
      <c r="B14" s="618" t="s">
        <v>402</v>
      </c>
      <c r="C14" s="429" t="s">
        <v>747</v>
      </c>
      <c r="D14" s="618" t="s">
        <v>40</v>
      </c>
      <c r="E14" s="618" t="s">
        <v>820</v>
      </c>
      <c r="F14" s="618">
        <v>71.3</v>
      </c>
      <c r="G14" s="618">
        <v>93</v>
      </c>
      <c r="H14" s="629">
        <v>6</v>
      </c>
      <c r="I14" s="629">
        <v>8</v>
      </c>
      <c r="J14" s="618" t="s">
        <v>748</v>
      </c>
      <c r="K14" s="618">
        <f t="shared" si="0"/>
        <v>5</v>
      </c>
      <c r="L14" s="618">
        <v>10</v>
      </c>
      <c r="M14" s="618">
        <f t="shared" si="1"/>
        <v>480</v>
      </c>
      <c r="N14" s="618">
        <v>21.151199999999999</v>
      </c>
      <c r="O14" s="618">
        <v>79.101100000000002</v>
      </c>
      <c r="P14" s="618">
        <v>12000</v>
      </c>
      <c r="Q14" s="618">
        <f t="shared" si="2"/>
        <v>60000</v>
      </c>
      <c r="R14" s="618">
        <v>15000</v>
      </c>
      <c r="S14" s="618">
        <f t="shared" si="3"/>
        <v>75000</v>
      </c>
      <c r="T14" s="618">
        <v>24000</v>
      </c>
      <c r="U14" s="618">
        <f t="shared" si="4"/>
        <v>120000</v>
      </c>
    </row>
    <row r="15" spans="1:28" ht="15.75" customHeight="1" x14ac:dyDescent="0.2">
      <c r="A15" s="618">
        <v>14</v>
      </c>
      <c r="B15" s="618" t="s">
        <v>402</v>
      </c>
      <c r="C15" s="644" t="s">
        <v>745</v>
      </c>
      <c r="D15" s="618" t="s">
        <v>40</v>
      </c>
      <c r="E15" s="618" t="s">
        <v>820</v>
      </c>
      <c r="F15" s="618">
        <v>71.3</v>
      </c>
      <c r="G15" s="618">
        <v>93</v>
      </c>
      <c r="H15" s="629">
        <v>6</v>
      </c>
      <c r="I15" s="629">
        <v>8</v>
      </c>
      <c r="J15" s="628" t="s">
        <v>746</v>
      </c>
      <c r="K15" s="618">
        <f t="shared" si="0"/>
        <v>10</v>
      </c>
      <c r="L15" s="618">
        <v>20</v>
      </c>
      <c r="M15" s="618">
        <f t="shared" si="1"/>
        <v>960</v>
      </c>
      <c r="N15" s="621">
        <v>21.152059999999999</v>
      </c>
      <c r="O15" s="621">
        <v>79.097899999999996</v>
      </c>
      <c r="P15" s="618">
        <v>12000</v>
      </c>
      <c r="Q15" s="618">
        <f t="shared" si="2"/>
        <v>120000</v>
      </c>
      <c r="R15" s="618">
        <v>15000</v>
      </c>
      <c r="S15" s="618">
        <f t="shared" si="3"/>
        <v>150000</v>
      </c>
      <c r="T15" s="618">
        <v>24000</v>
      </c>
      <c r="U15" s="618">
        <f t="shared" si="4"/>
        <v>240000</v>
      </c>
    </row>
    <row r="16" spans="1:28" s="573" customFormat="1" ht="16" x14ac:dyDescent="0.2">
      <c r="A16" s="618">
        <v>15</v>
      </c>
      <c r="B16" s="618" t="s">
        <v>402</v>
      </c>
      <c r="C16" s="696" t="s">
        <v>743</v>
      </c>
      <c r="D16" s="618" t="s">
        <v>40</v>
      </c>
      <c r="E16" s="618" t="s">
        <v>820</v>
      </c>
      <c r="F16" s="618">
        <v>71.3</v>
      </c>
      <c r="G16" s="618">
        <v>93</v>
      </c>
      <c r="H16" s="629">
        <v>6</v>
      </c>
      <c r="I16" s="629">
        <v>8</v>
      </c>
      <c r="J16" s="618" t="s">
        <v>744</v>
      </c>
      <c r="K16" s="618">
        <f t="shared" si="0"/>
        <v>7</v>
      </c>
      <c r="L16" s="618">
        <v>14</v>
      </c>
      <c r="M16" s="618">
        <f t="shared" si="1"/>
        <v>672</v>
      </c>
      <c r="N16" s="589">
        <v>21.153020000000001</v>
      </c>
      <c r="O16" s="589">
        <v>79.095399999999998</v>
      </c>
      <c r="P16" s="618">
        <v>12000</v>
      </c>
      <c r="Q16" s="618">
        <f t="shared" si="2"/>
        <v>84000</v>
      </c>
      <c r="R16" s="618">
        <v>15000</v>
      </c>
      <c r="S16" s="618">
        <f t="shared" si="3"/>
        <v>105000</v>
      </c>
      <c r="T16" s="618">
        <v>24000</v>
      </c>
      <c r="U16" s="618">
        <f t="shared" si="4"/>
        <v>168000</v>
      </c>
    </row>
    <row r="17" spans="1:242" s="560" customFormat="1" ht="20.25" customHeight="1" x14ac:dyDescent="0.2">
      <c r="A17" s="618">
        <v>16</v>
      </c>
      <c r="B17" s="618" t="s">
        <v>402</v>
      </c>
      <c r="C17" s="642" t="s">
        <v>773</v>
      </c>
      <c r="D17" s="618" t="s">
        <v>40</v>
      </c>
      <c r="E17" s="618" t="s">
        <v>820</v>
      </c>
      <c r="F17" s="618">
        <v>71.3</v>
      </c>
      <c r="G17" s="618">
        <v>93</v>
      </c>
      <c r="H17" s="629">
        <v>6</v>
      </c>
      <c r="I17" s="629">
        <v>8</v>
      </c>
      <c r="J17" s="618" t="s">
        <v>774</v>
      </c>
      <c r="K17" s="618">
        <f t="shared" si="0"/>
        <v>12</v>
      </c>
      <c r="L17" s="444">
        <v>24</v>
      </c>
      <c r="M17" s="618">
        <f t="shared" si="1"/>
        <v>1152</v>
      </c>
      <c r="N17" s="621">
        <v>21.153300000000002</v>
      </c>
      <c r="O17" s="621">
        <v>79.092200000000005</v>
      </c>
      <c r="P17" s="618">
        <v>12000</v>
      </c>
      <c r="Q17" s="618">
        <f t="shared" si="2"/>
        <v>144000</v>
      </c>
      <c r="R17" s="618">
        <v>15000</v>
      </c>
      <c r="S17" s="618">
        <f t="shared" si="3"/>
        <v>180000</v>
      </c>
      <c r="T17" s="618">
        <v>24000</v>
      </c>
      <c r="U17" s="618">
        <f t="shared" si="4"/>
        <v>288000</v>
      </c>
      <c r="V17" s="598"/>
      <c r="W17" s="598"/>
      <c r="X17" s="598"/>
      <c r="Y17" s="598"/>
      <c r="Z17" s="598"/>
      <c r="AA17" s="598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8"/>
      <c r="AM17" s="598"/>
      <c r="AN17" s="598"/>
      <c r="AO17" s="598"/>
      <c r="AP17" s="598"/>
      <c r="AQ17" s="598"/>
      <c r="AR17" s="598"/>
      <c r="AS17" s="598"/>
      <c r="AT17" s="598"/>
      <c r="AU17" s="598"/>
      <c r="AV17" s="598"/>
      <c r="AW17" s="598"/>
      <c r="AX17" s="598"/>
      <c r="AY17" s="598"/>
      <c r="AZ17" s="598"/>
      <c r="BA17" s="598"/>
      <c r="BB17" s="598"/>
      <c r="BC17" s="598"/>
      <c r="BD17" s="598"/>
      <c r="BE17" s="598"/>
      <c r="BF17" s="598"/>
      <c r="BG17" s="598"/>
      <c r="BH17" s="598"/>
      <c r="BI17" s="598"/>
      <c r="BJ17" s="598"/>
      <c r="BK17" s="598"/>
      <c r="BL17" s="598"/>
      <c r="BM17" s="598"/>
      <c r="BN17" s="598"/>
      <c r="BO17" s="598"/>
      <c r="BP17" s="598"/>
      <c r="BQ17" s="598"/>
      <c r="BR17" s="598"/>
      <c r="BS17" s="598"/>
      <c r="BT17" s="598"/>
      <c r="BU17" s="598"/>
      <c r="BV17" s="598"/>
      <c r="BW17" s="598"/>
      <c r="BX17" s="598"/>
      <c r="BY17" s="598"/>
      <c r="BZ17" s="598"/>
      <c r="CA17" s="598"/>
      <c r="CB17" s="598"/>
      <c r="CC17" s="598"/>
      <c r="CD17" s="598"/>
      <c r="CE17" s="598"/>
      <c r="CF17" s="598"/>
      <c r="CG17" s="598"/>
      <c r="CH17" s="598"/>
      <c r="CI17" s="598"/>
      <c r="CJ17" s="598"/>
      <c r="CK17" s="598"/>
      <c r="CL17" s="598"/>
      <c r="CM17" s="598"/>
      <c r="CN17" s="598"/>
      <c r="CO17" s="598"/>
      <c r="CP17" s="598"/>
      <c r="CQ17" s="598"/>
      <c r="CR17" s="598"/>
      <c r="CS17" s="598"/>
      <c r="CT17" s="598"/>
      <c r="CU17" s="598"/>
      <c r="CV17" s="598"/>
      <c r="CW17" s="598"/>
      <c r="CX17" s="598"/>
      <c r="CY17" s="598"/>
      <c r="CZ17" s="598"/>
      <c r="DA17" s="598"/>
      <c r="DB17" s="598"/>
      <c r="DC17" s="598"/>
      <c r="DD17" s="598"/>
      <c r="DE17" s="598"/>
      <c r="DF17" s="598"/>
      <c r="DG17" s="598"/>
      <c r="DH17" s="598"/>
      <c r="DI17" s="598"/>
      <c r="DJ17" s="598"/>
      <c r="DK17" s="598"/>
      <c r="DL17" s="598"/>
      <c r="DM17" s="598"/>
      <c r="DN17" s="598"/>
      <c r="DO17" s="598"/>
      <c r="DP17" s="598"/>
      <c r="DQ17" s="598"/>
      <c r="DR17" s="598"/>
      <c r="DS17" s="598"/>
      <c r="DT17" s="598"/>
      <c r="DU17" s="598"/>
      <c r="DV17" s="598"/>
      <c r="DW17" s="598"/>
      <c r="DX17" s="598"/>
      <c r="DY17" s="598"/>
      <c r="DZ17" s="598"/>
      <c r="EA17" s="598"/>
      <c r="EB17" s="598"/>
      <c r="EC17" s="598"/>
      <c r="ED17" s="598"/>
      <c r="EE17" s="598"/>
      <c r="EF17" s="598"/>
      <c r="EG17" s="598"/>
      <c r="EH17" s="598"/>
      <c r="EI17" s="598"/>
      <c r="EJ17" s="598"/>
      <c r="EK17" s="598"/>
      <c r="EL17" s="598"/>
      <c r="EM17" s="598"/>
      <c r="EN17" s="598"/>
      <c r="EO17" s="598"/>
      <c r="EP17" s="598"/>
      <c r="EQ17" s="598"/>
      <c r="ER17" s="598"/>
      <c r="ES17" s="598"/>
      <c r="ET17" s="598"/>
      <c r="EU17" s="598"/>
      <c r="EV17" s="598"/>
      <c r="EW17" s="598"/>
      <c r="EX17" s="598"/>
      <c r="EY17" s="598"/>
      <c r="EZ17" s="598"/>
      <c r="FA17" s="598"/>
      <c r="FB17" s="598"/>
      <c r="FC17" s="598"/>
      <c r="FD17" s="598"/>
      <c r="FE17" s="598"/>
      <c r="FF17" s="598"/>
      <c r="FG17" s="598"/>
      <c r="FH17" s="598"/>
      <c r="FI17" s="598"/>
      <c r="FJ17" s="598"/>
      <c r="FK17" s="598"/>
      <c r="FL17" s="598"/>
      <c r="FM17" s="598"/>
      <c r="FN17" s="598"/>
      <c r="FO17" s="598"/>
      <c r="FP17" s="598"/>
      <c r="FQ17" s="598"/>
      <c r="FR17" s="598"/>
      <c r="FS17" s="598"/>
      <c r="FT17" s="598"/>
      <c r="FU17" s="598"/>
      <c r="FV17" s="598"/>
      <c r="FW17" s="598"/>
      <c r="FX17" s="598"/>
      <c r="FY17" s="598"/>
      <c r="FZ17" s="598"/>
      <c r="GA17" s="598"/>
      <c r="GB17" s="598"/>
      <c r="GC17" s="598"/>
      <c r="GD17" s="598"/>
      <c r="GE17" s="598"/>
      <c r="GF17" s="598"/>
      <c r="GG17" s="598"/>
      <c r="GH17" s="598"/>
      <c r="GI17" s="598"/>
      <c r="GJ17" s="598"/>
      <c r="GK17" s="598"/>
      <c r="GL17" s="598"/>
      <c r="GM17" s="598"/>
      <c r="GN17" s="598"/>
      <c r="GO17" s="598"/>
      <c r="GP17" s="598"/>
      <c r="GQ17" s="598"/>
      <c r="GR17" s="598"/>
      <c r="GS17" s="598"/>
      <c r="GT17" s="598"/>
      <c r="GU17" s="598"/>
      <c r="GV17" s="598"/>
      <c r="GW17" s="598"/>
      <c r="GX17" s="598"/>
      <c r="GY17" s="598"/>
      <c r="GZ17" s="598"/>
      <c r="HA17" s="598"/>
      <c r="HB17" s="598"/>
      <c r="HC17" s="598"/>
      <c r="HD17" s="598"/>
      <c r="HE17" s="598"/>
      <c r="HF17" s="598"/>
      <c r="HG17" s="598"/>
      <c r="HH17" s="598"/>
      <c r="HI17" s="598"/>
      <c r="HJ17" s="598"/>
      <c r="HK17" s="598"/>
      <c r="HL17" s="598"/>
      <c r="HM17" s="598"/>
      <c r="HN17" s="598"/>
      <c r="HO17" s="598"/>
      <c r="HP17" s="598"/>
      <c r="HQ17" s="598"/>
      <c r="HR17" s="598"/>
      <c r="HS17" s="598"/>
      <c r="HT17" s="598"/>
      <c r="HU17" s="598"/>
      <c r="HV17" s="598"/>
      <c r="HW17" s="598"/>
      <c r="HX17" s="598"/>
      <c r="HY17" s="598"/>
      <c r="HZ17" s="598"/>
      <c r="IA17" s="598"/>
      <c r="IB17" s="598"/>
      <c r="IC17" s="598"/>
      <c r="ID17" s="598"/>
      <c r="IE17" s="598"/>
      <c r="IF17" s="598"/>
      <c r="IG17" s="598"/>
      <c r="IH17" s="598"/>
    </row>
    <row r="18" spans="1:242" s="560" customFormat="1" ht="16" x14ac:dyDescent="0.2">
      <c r="A18" s="530">
        <v>17</v>
      </c>
      <c r="B18" s="530" t="s">
        <v>402</v>
      </c>
      <c r="C18" s="429" t="s">
        <v>842</v>
      </c>
      <c r="D18" s="530" t="s">
        <v>40</v>
      </c>
      <c r="E18" s="530" t="s">
        <v>820</v>
      </c>
      <c r="F18" s="530">
        <v>71.3</v>
      </c>
      <c r="G18" s="530">
        <v>93</v>
      </c>
      <c r="H18" s="530">
        <v>6</v>
      </c>
      <c r="I18" s="530">
        <v>8</v>
      </c>
      <c r="J18" s="530" t="s">
        <v>886</v>
      </c>
      <c r="K18" s="530">
        <v>4</v>
      </c>
      <c r="L18" s="530">
        <v>7</v>
      </c>
      <c r="M18" s="530">
        <f t="shared" si="1"/>
        <v>336</v>
      </c>
      <c r="N18" s="505">
        <v>21.1447</v>
      </c>
      <c r="O18" s="505">
        <v>79.082499999999996</v>
      </c>
      <c r="P18" s="530">
        <v>10000</v>
      </c>
      <c r="Q18" s="530">
        <f t="shared" si="2"/>
        <v>40000</v>
      </c>
      <c r="R18" s="530">
        <v>12000</v>
      </c>
      <c r="S18" s="530">
        <f t="shared" si="3"/>
        <v>48000</v>
      </c>
      <c r="T18" s="530">
        <v>20000</v>
      </c>
      <c r="U18" s="530">
        <f t="shared" si="4"/>
        <v>80000</v>
      </c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598"/>
      <c r="AH18" s="598"/>
      <c r="AI18" s="598"/>
      <c r="AJ18" s="598"/>
      <c r="AK18" s="598"/>
      <c r="AL18" s="598"/>
      <c r="AM18" s="598"/>
      <c r="AN18" s="598"/>
      <c r="AO18" s="598"/>
      <c r="AP18" s="598"/>
      <c r="AQ18" s="598"/>
      <c r="AR18" s="598"/>
      <c r="AS18" s="598"/>
      <c r="AT18" s="598"/>
      <c r="AU18" s="598"/>
      <c r="AV18" s="598"/>
      <c r="AW18" s="598"/>
      <c r="AX18" s="598"/>
      <c r="AY18" s="598"/>
      <c r="AZ18" s="598"/>
      <c r="BA18" s="598"/>
      <c r="BB18" s="598"/>
      <c r="BC18" s="598"/>
      <c r="BD18" s="598"/>
      <c r="BE18" s="598"/>
      <c r="BF18" s="598"/>
      <c r="BG18" s="598"/>
      <c r="BH18" s="598"/>
      <c r="BI18" s="598"/>
      <c r="BJ18" s="598"/>
      <c r="BK18" s="598"/>
      <c r="BL18" s="598"/>
      <c r="BM18" s="598"/>
      <c r="BN18" s="598"/>
      <c r="BO18" s="598"/>
      <c r="BP18" s="598"/>
      <c r="BQ18" s="598"/>
      <c r="BR18" s="598"/>
      <c r="BS18" s="598"/>
      <c r="BT18" s="598"/>
      <c r="BU18" s="598"/>
      <c r="BV18" s="598"/>
      <c r="BW18" s="598"/>
      <c r="BX18" s="598"/>
      <c r="BY18" s="598"/>
      <c r="BZ18" s="598"/>
      <c r="CA18" s="598"/>
      <c r="CB18" s="598"/>
      <c r="CC18" s="598"/>
      <c r="CD18" s="598"/>
      <c r="CE18" s="598"/>
      <c r="CF18" s="598"/>
      <c r="CG18" s="598"/>
      <c r="CH18" s="598"/>
      <c r="CI18" s="598"/>
      <c r="CJ18" s="598"/>
      <c r="CK18" s="598"/>
      <c r="CL18" s="598"/>
      <c r="CM18" s="598"/>
      <c r="CN18" s="598"/>
      <c r="CO18" s="598"/>
      <c r="CP18" s="598"/>
      <c r="CQ18" s="598"/>
      <c r="CR18" s="598"/>
      <c r="CS18" s="598"/>
      <c r="CT18" s="598"/>
      <c r="CU18" s="598"/>
      <c r="CV18" s="598"/>
      <c r="CW18" s="598"/>
      <c r="CX18" s="598"/>
      <c r="CY18" s="598"/>
      <c r="CZ18" s="598"/>
      <c r="DA18" s="598"/>
      <c r="DB18" s="598"/>
      <c r="DC18" s="598"/>
      <c r="DD18" s="598"/>
      <c r="DE18" s="598"/>
      <c r="DF18" s="598"/>
      <c r="DG18" s="598"/>
      <c r="DH18" s="598"/>
      <c r="DI18" s="598"/>
      <c r="DJ18" s="598"/>
      <c r="DK18" s="598"/>
      <c r="DL18" s="598"/>
      <c r="DM18" s="598"/>
      <c r="DN18" s="598"/>
      <c r="DO18" s="598"/>
      <c r="DP18" s="598"/>
      <c r="DQ18" s="598"/>
      <c r="DR18" s="598"/>
      <c r="DS18" s="598"/>
      <c r="DT18" s="598"/>
      <c r="DU18" s="598"/>
      <c r="DV18" s="598"/>
      <c r="DW18" s="598"/>
      <c r="DX18" s="598"/>
      <c r="DY18" s="598"/>
      <c r="DZ18" s="598"/>
      <c r="EA18" s="598"/>
      <c r="EB18" s="598"/>
      <c r="EC18" s="598"/>
      <c r="ED18" s="598"/>
      <c r="EE18" s="598"/>
      <c r="EF18" s="598"/>
      <c r="EG18" s="598"/>
      <c r="EH18" s="598"/>
      <c r="EI18" s="598"/>
      <c r="EJ18" s="598"/>
      <c r="EK18" s="598"/>
      <c r="EL18" s="598"/>
      <c r="EM18" s="598"/>
      <c r="EN18" s="598"/>
      <c r="EO18" s="598"/>
      <c r="EP18" s="598"/>
      <c r="EQ18" s="598"/>
      <c r="ER18" s="598"/>
      <c r="ES18" s="598"/>
      <c r="ET18" s="598"/>
      <c r="EU18" s="598"/>
      <c r="EV18" s="598"/>
      <c r="EW18" s="598"/>
      <c r="EX18" s="598"/>
      <c r="EY18" s="598"/>
      <c r="EZ18" s="598"/>
      <c r="FA18" s="598"/>
      <c r="FB18" s="598"/>
      <c r="FC18" s="598"/>
      <c r="FD18" s="598"/>
      <c r="FE18" s="598"/>
      <c r="FF18" s="598"/>
      <c r="FG18" s="598"/>
      <c r="FH18" s="598"/>
      <c r="FI18" s="598"/>
      <c r="FJ18" s="598"/>
      <c r="FK18" s="598"/>
      <c r="FL18" s="598"/>
      <c r="FM18" s="598"/>
      <c r="FN18" s="598"/>
      <c r="FO18" s="598"/>
      <c r="FP18" s="598"/>
      <c r="FQ18" s="598"/>
      <c r="FR18" s="598"/>
      <c r="FS18" s="598"/>
      <c r="FT18" s="598"/>
      <c r="FU18" s="598"/>
      <c r="FV18" s="598"/>
      <c r="FW18" s="598"/>
      <c r="FX18" s="598"/>
      <c r="FY18" s="598"/>
      <c r="FZ18" s="598"/>
      <c r="GA18" s="598"/>
      <c r="GB18" s="598"/>
      <c r="GC18" s="598"/>
      <c r="GD18" s="598"/>
      <c r="GE18" s="598"/>
      <c r="GF18" s="598"/>
      <c r="GG18" s="598"/>
      <c r="GH18" s="598"/>
      <c r="GI18" s="598"/>
      <c r="GJ18" s="598"/>
      <c r="GK18" s="598"/>
      <c r="GL18" s="598"/>
      <c r="GM18" s="598"/>
      <c r="GN18" s="598"/>
      <c r="GO18" s="598"/>
      <c r="GP18" s="598"/>
      <c r="GQ18" s="598"/>
      <c r="GR18" s="598"/>
      <c r="GS18" s="598"/>
      <c r="GT18" s="598"/>
      <c r="GU18" s="598"/>
      <c r="GV18" s="598"/>
      <c r="GW18" s="598"/>
      <c r="GX18" s="598"/>
      <c r="GY18" s="598"/>
      <c r="GZ18" s="598"/>
      <c r="HA18" s="598"/>
      <c r="HB18" s="598"/>
      <c r="HC18" s="598"/>
      <c r="HD18" s="598"/>
      <c r="HE18" s="598"/>
      <c r="HF18" s="598"/>
      <c r="HG18" s="598"/>
      <c r="HH18" s="598"/>
      <c r="HI18" s="598"/>
      <c r="HJ18" s="598"/>
      <c r="HK18" s="598"/>
      <c r="HL18" s="598"/>
      <c r="HM18" s="598"/>
      <c r="HN18" s="598"/>
      <c r="HO18" s="598"/>
      <c r="HP18" s="598"/>
      <c r="HQ18" s="598"/>
      <c r="HR18" s="598"/>
      <c r="HS18" s="598"/>
      <c r="HT18" s="598"/>
      <c r="HU18" s="598"/>
      <c r="HV18" s="598"/>
      <c r="HW18" s="598"/>
      <c r="HX18" s="598"/>
      <c r="HY18" s="598"/>
      <c r="HZ18" s="598"/>
      <c r="IA18" s="598"/>
      <c r="IB18" s="598"/>
      <c r="IC18" s="598"/>
      <c r="ID18" s="598"/>
      <c r="IE18" s="598"/>
      <c r="IF18" s="598"/>
      <c r="IG18" s="598"/>
      <c r="IH18" s="598"/>
    </row>
    <row r="19" spans="1:242" s="601" customFormat="1" ht="16" x14ac:dyDescent="0.2">
      <c r="A19" s="622">
        <v>18</v>
      </c>
      <c r="B19" s="622" t="s">
        <v>402</v>
      </c>
      <c r="C19" s="623" t="s">
        <v>843</v>
      </c>
      <c r="D19" s="622" t="s">
        <v>40</v>
      </c>
      <c r="E19" s="622" t="s">
        <v>820</v>
      </c>
      <c r="F19" s="622">
        <v>71.3</v>
      </c>
      <c r="G19" s="622">
        <v>93</v>
      </c>
      <c r="H19" s="631">
        <v>6</v>
      </c>
      <c r="I19" s="631">
        <v>8</v>
      </c>
      <c r="J19" s="622" t="s">
        <v>845</v>
      </c>
      <c r="K19" s="622">
        <v>7</v>
      </c>
      <c r="L19" s="561">
        <f>K19*2</f>
        <v>14</v>
      </c>
      <c r="M19" s="622">
        <f t="shared" si="1"/>
        <v>672</v>
      </c>
      <c r="N19" s="622"/>
      <c r="O19" s="622"/>
      <c r="P19" s="622">
        <v>10000</v>
      </c>
      <c r="Q19" s="622">
        <f t="shared" si="2"/>
        <v>70000</v>
      </c>
      <c r="R19" s="622">
        <v>12000</v>
      </c>
      <c r="S19" s="622">
        <f t="shared" si="3"/>
        <v>84000</v>
      </c>
      <c r="T19" s="622">
        <v>20000</v>
      </c>
      <c r="U19" s="622">
        <f t="shared" si="4"/>
        <v>140000</v>
      </c>
    </row>
    <row r="20" spans="1:242" s="598" customFormat="1" ht="16" x14ac:dyDescent="0.2">
      <c r="A20" s="622">
        <v>19</v>
      </c>
      <c r="B20" s="622" t="s">
        <v>402</v>
      </c>
      <c r="C20" s="623" t="s">
        <v>844</v>
      </c>
      <c r="D20" s="622" t="s">
        <v>40</v>
      </c>
      <c r="E20" s="622" t="s">
        <v>820</v>
      </c>
      <c r="F20" s="622">
        <v>71.3</v>
      </c>
      <c r="G20" s="622">
        <v>93</v>
      </c>
      <c r="H20" s="631">
        <v>6</v>
      </c>
      <c r="I20" s="631">
        <v>8</v>
      </c>
      <c r="J20" s="622" t="s">
        <v>846</v>
      </c>
      <c r="K20" s="622">
        <v>5</v>
      </c>
      <c r="L20" s="561">
        <f>K20*2</f>
        <v>10</v>
      </c>
      <c r="M20" s="622">
        <f t="shared" si="1"/>
        <v>480</v>
      </c>
      <c r="N20" s="622"/>
      <c r="O20" s="622"/>
      <c r="P20" s="622">
        <v>10000</v>
      </c>
      <c r="Q20" s="622">
        <f t="shared" si="2"/>
        <v>50000</v>
      </c>
      <c r="R20" s="622">
        <v>12000</v>
      </c>
      <c r="S20" s="622">
        <f t="shared" si="3"/>
        <v>60000</v>
      </c>
      <c r="T20" s="622">
        <v>20000</v>
      </c>
      <c r="U20" s="622">
        <f t="shared" si="4"/>
        <v>100000</v>
      </c>
    </row>
    <row r="21" spans="1:242" ht="18.75" customHeight="1" x14ac:dyDescent="0.2">
      <c r="A21" s="621">
        <v>20</v>
      </c>
      <c r="B21" s="621" t="s">
        <v>402</v>
      </c>
      <c r="C21" s="679" t="s">
        <v>741</v>
      </c>
      <c r="D21" s="621" t="s">
        <v>40</v>
      </c>
      <c r="E21" s="621" t="s">
        <v>820</v>
      </c>
      <c r="F21" s="621">
        <v>71.3</v>
      </c>
      <c r="G21" s="621">
        <v>93</v>
      </c>
      <c r="H21" s="630">
        <v>6</v>
      </c>
      <c r="I21" s="630">
        <v>8</v>
      </c>
      <c r="J21" s="621" t="s">
        <v>742</v>
      </c>
      <c r="K21" s="621">
        <f>L21/2</f>
        <v>11</v>
      </c>
      <c r="L21" s="621">
        <v>22</v>
      </c>
      <c r="M21" s="621">
        <f t="shared" si="1"/>
        <v>1056</v>
      </c>
      <c r="N21" s="589">
        <v>21.142752000000002</v>
      </c>
      <c r="O21" s="589">
        <v>79.087100000000007</v>
      </c>
      <c r="P21" s="621">
        <v>12000</v>
      </c>
      <c r="Q21" s="621">
        <f t="shared" si="2"/>
        <v>132000</v>
      </c>
      <c r="R21" s="621">
        <v>15000</v>
      </c>
      <c r="S21" s="621">
        <f t="shared" si="3"/>
        <v>165000</v>
      </c>
      <c r="T21" s="621">
        <v>20000</v>
      </c>
      <c r="U21" s="621">
        <f t="shared" si="4"/>
        <v>220000</v>
      </c>
    </row>
    <row r="22" spans="1:242" ht="16" x14ac:dyDescent="0.2">
      <c r="A22" s="621">
        <v>21</v>
      </c>
      <c r="B22" s="621" t="s">
        <v>402</v>
      </c>
      <c r="C22" s="710" t="s">
        <v>899</v>
      </c>
      <c r="D22" s="621" t="s">
        <v>40</v>
      </c>
      <c r="E22" s="621" t="s">
        <v>820</v>
      </c>
      <c r="F22" s="621">
        <v>57</v>
      </c>
      <c r="G22" s="621">
        <v>93</v>
      </c>
      <c r="H22" s="630">
        <v>5</v>
      </c>
      <c r="I22" s="630">
        <v>8</v>
      </c>
      <c r="J22" s="621" t="s">
        <v>775</v>
      </c>
      <c r="K22" s="621">
        <f>L22/2</f>
        <v>7</v>
      </c>
      <c r="L22" s="621">
        <v>14</v>
      </c>
      <c r="M22" s="621">
        <f t="shared" si="1"/>
        <v>560</v>
      </c>
      <c r="N22" s="589">
        <v>21.143519999999999</v>
      </c>
      <c r="O22" s="589">
        <v>79.0809</v>
      </c>
      <c r="P22" s="624">
        <v>15000</v>
      </c>
      <c r="Q22" s="621">
        <f t="shared" si="2"/>
        <v>105000</v>
      </c>
      <c r="R22" s="621">
        <v>18000</v>
      </c>
      <c r="S22" s="621">
        <f t="shared" si="3"/>
        <v>126000</v>
      </c>
      <c r="T22" s="621">
        <v>24000</v>
      </c>
      <c r="U22" s="621">
        <f t="shared" si="4"/>
        <v>168000</v>
      </c>
    </row>
    <row r="23" spans="1:242" ht="16" x14ac:dyDescent="0.2">
      <c r="A23" s="618">
        <v>22</v>
      </c>
      <c r="B23" s="618" t="s">
        <v>402</v>
      </c>
      <c r="C23" s="643" t="s">
        <v>666</v>
      </c>
      <c r="D23" s="618" t="s">
        <v>40</v>
      </c>
      <c r="E23" s="618" t="s">
        <v>820</v>
      </c>
      <c r="F23" s="618">
        <v>57</v>
      </c>
      <c r="G23" s="618">
        <v>93</v>
      </c>
      <c r="H23" s="629">
        <v>5</v>
      </c>
      <c r="I23" s="629">
        <v>8</v>
      </c>
      <c r="J23" s="618" t="s">
        <v>726</v>
      </c>
      <c r="K23" s="618">
        <f>L23/2</f>
        <v>6</v>
      </c>
      <c r="L23" s="618">
        <v>12</v>
      </c>
      <c r="M23" s="618">
        <f t="shared" si="1"/>
        <v>480</v>
      </c>
      <c r="N23" s="621">
        <v>21.141300000000001</v>
      </c>
      <c r="O23" s="621">
        <v>79.082400000000007</v>
      </c>
      <c r="P23" s="610">
        <v>12000</v>
      </c>
      <c r="Q23" s="618">
        <f t="shared" si="2"/>
        <v>72000</v>
      </c>
      <c r="R23" s="618">
        <v>15000</v>
      </c>
      <c r="S23" s="618">
        <f t="shared" si="3"/>
        <v>90000</v>
      </c>
      <c r="T23" s="618">
        <v>24000</v>
      </c>
      <c r="U23" s="618">
        <f t="shared" si="4"/>
        <v>144000</v>
      </c>
    </row>
    <row r="24" spans="1:242" s="598" customFormat="1" ht="16" x14ac:dyDescent="0.2">
      <c r="A24" s="618">
        <v>23</v>
      </c>
      <c r="B24" s="618" t="s">
        <v>402</v>
      </c>
      <c r="C24" s="661" t="s">
        <v>847</v>
      </c>
      <c r="D24" s="618" t="s">
        <v>40</v>
      </c>
      <c r="E24" s="618" t="s">
        <v>820</v>
      </c>
      <c r="F24" s="618">
        <v>57</v>
      </c>
      <c r="G24" s="618">
        <v>93</v>
      </c>
      <c r="H24" s="629">
        <v>5</v>
      </c>
      <c r="I24" s="629">
        <v>8</v>
      </c>
      <c r="J24" s="618" t="s">
        <v>848</v>
      </c>
      <c r="K24" s="618">
        <v>11</v>
      </c>
      <c r="L24" s="618">
        <f>K24*2</f>
        <v>22</v>
      </c>
      <c r="M24" s="618">
        <f t="shared" si="1"/>
        <v>880</v>
      </c>
      <c r="N24" s="621">
        <v>21.140699999999999</v>
      </c>
      <c r="O24" s="621">
        <v>79.077500000000001</v>
      </c>
      <c r="P24" s="618">
        <v>12000</v>
      </c>
      <c r="Q24" s="618">
        <f t="shared" si="2"/>
        <v>132000</v>
      </c>
      <c r="R24" s="618">
        <v>15000</v>
      </c>
      <c r="S24" s="618">
        <f t="shared" si="3"/>
        <v>165000</v>
      </c>
      <c r="T24" s="618">
        <v>20000</v>
      </c>
      <c r="U24" s="618">
        <f t="shared" si="4"/>
        <v>220000</v>
      </c>
    </row>
    <row r="25" spans="1:242" s="598" customFormat="1" ht="16" x14ac:dyDescent="0.2">
      <c r="A25" s="621">
        <v>24</v>
      </c>
      <c r="B25" s="621" t="s">
        <v>402</v>
      </c>
      <c r="C25" s="662" t="s">
        <v>872</v>
      </c>
      <c r="D25" s="621" t="s">
        <v>40</v>
      </c>
      <c r="E25" s="621" t="s">
        <v>820</v>
      </c>
      <c r="F25" s="621">
        <v>57</v>
      </c>
      <c r="G25" s="621">
        <v>93</v>
      </c>
      <c r="H25" s="630">
        <v>5</v>
      </c>
      <c r="I25" s="630">
        <v>8</v>
      </c>
      <c r="J25" s="621" t="s">
        <v>849</v>
      </c>
      <c r="K25" s="621">
        <v>10</v>
      </c>
      <c r="L25" s="621">
        <f>K25*2</f>
        <v>20</v>
      </c>
      <c r="M25" s="621">
        <f t="shared" si="1"/>
        <v>800</v>
      </c>
      <c r="N25" s="589">
        <v>21.139340000000001</v>
      </c>
      <c r="O25" s="589">
        <v>79.072990000000004</v>
      </c>
      <c r="P25" s="621">
        <v>12000</v>
      </c>
      <c r="Q25" s="621">
        <f t="shared" si="2"/>
        <v>120000</v>
      </c>
      <c r="R25" s="621">
        <v>15000</v>
      </c>
      <c r="S25" s="621">
        <f t="shared" si="3"/>
        <v>150000</v>
      </c>
      <c r="T25" s="621">
        <v>20000</v>
      </c>
      <c r="U25" s="621">
        <f t="shared" si="4"/>
        <v>200000</v>
      </c>
    </row>
    <row r="26" spans="1:242" s="598" customFormat="1" ht="16" x14ac:dyDescent="0.2">
      <c r="A26" s="621">
        <v>25</v>
      </c>
      <c r="B26" s="621" t="s">
        <v>402</v>
      </c>
      <c r="C26" s="660" t="s">
        <v>668</v>
      </c>
      <c r="D26" s="621" t="s">
        <v>40</v>
      </c>
      <c r="E26" s="621" t="s">
        <v>820</v>
      </c>
      <c r="F26" s="621">
        <v>57</v>
      </c>
      <c r="G26" s="621">
        <v>93</v>
      </c>
      <c r="H26" s="630">
        <v>5</v>
      </c>
      <c r="I26" s="630">
        <v>8</v>
      </c>
      <c r="J26" s="621" t="s">
        <v>380</v>
      </c>
      <c r="K26" s="621">
        <f t="shared" ref="K26:K33" si="5">L26/2</f>
        <v>11</v>
      </c>
      <c r="L26" s="621">
        <v>22</v>
      </c>
      <c r="M26" s="621">
        <f t="shared" si="1"/>
        <v>880</v>
      </c>
      <c r="N26" s="621">
        <v>21.139299999999999</v>
      </c>
      <c r="O26" s="621">
        <v>79.072900000000004</v>
      </c>
      <c r="P26" s="621">
        <v>12000</v>
      </c>
      <c r="Q26" s="621">
        <f t="shared" si="2"/>
        <v>132000</v>
      </c>
      <c r="R26" s="621">
        <v>15000</v>
      </c>
      <c r="S26" s="621">
        <f t="shared" si="3"/>
        <v>165000</v>
      </c>
      <c r="T26" s="621">
        <v>25000</v>
      </c>
      <c r="U26" s="621">
        <f t="shared" si="4"/>
        <v>275000</v>
      </c>
    </row>
    <row r="27" spans="1:242" ht="16" x14ac:dyDescent="0.2">
      <c r="A27" s="618">
        <v>26</v>
      </c>
      <c r="B27" s="618" t="s">
        <v>402</v>
      </c>
      <c r="C27" s="663" t="s">
        <v>669</v>
      </c>
      <c r="D27" s="618" t="s">
        <v>40</v>
      </c>
      <c r="E27" s="618" t="s">
        <v>820</v>
      </c>
      <c r="F27" s="618">
        <v>57</v>
      </c>
      <c r="G27" s="618">
        <v>93</v>
      </c>
      <c r="H27" s="629">
        <v>5</v>
      </c>
      <c r="I27" s="629">
        <v>8</v>
      </c>
      <c r="J27" s="618" t="s">
        <v>381</v>
      </c>
      <c r="K27" s="618">
        <f t="shared" si="5"/>
        <v>10</v>
      </c>
      <c r="L27" s="618">
        <v>20</v>
      </c>
      <c r="M27" s="618">
        <f t="shared" si="1"/>
        <v>800</v>
      </c>
      <c r="N27" s="618">
        <v>21.137799999999999</v>
      </c>
      <c r="O27" s="618">
        <v>79.068399999999997</v>
      </c>
      <c r="P27" s="618">
        <v>12000</v>
      </c>
      <c r="Q27" s="618">
        <f t="shared" si="2"/>
        <v>120000</v>
      </c>
      <c r="R27" s="618">
        <v>15000</v>
      </c>
      <c r="S27" s="618">
        <f t="shared" si="3"/>
        <v>150000</v>
      </c>
      <c r="T27" s="618">
        <v>25000</v>
      </c>
      <c r="U27" s="618">
        <f t="shared" si="4"/>
        <v>250000</v>
      </c>
    </row>
    <row r="28" spans="1:242" ht="16" x14ac:dyDescent="0.2">
      <c r="A28" s="618">
        <v>27</v>
      </c>
      <c r="B28" s="618" t="s">
        <v>402</v>
      </c>
      <c r="C28" s="698" t="s">
        <v>895</v>
      </c>
      <c r="D28" s="618" t="s">
        <v>40</v>
      </c>
      <c r="E28" s="618" t="s">
        <v>820</v>
      </c>
      <c r="F28" s="618">
        <v>57</v>
      </c>
      <c r="G28" s="618">
        <v>93</v>
      </c>
      <c r="H28" s="629">
        <v>5</v>
      </c>
      <c r="I28" s="629">
        <v>8</v>
      </c>
      <c r="J28" s="618" t="s">
        <v>382</v>
      </c>
      <c r="K28" s="618">
        <f t="shared" si="5"/>
        <v>14</v>
      </c>
      <c r="L28" s="618">
        <v>28</v>
      </c>
      <c r="M28" s="618">
        <f t="shared" si="1"/>
        <v>1120</v>
      </c>
      <c r="N28" s="618">
        <v>21.136700000000001</v>
      </c>
      <c r="O28" s="618">
        <v>79.064800000000005</v>
      </c>
      <c r="P28" s="618">
        <v>12000</v>
      </c>
      <c r="Q28" s="618">
        <f t="shared" si="2"/>
        <v>168000</v>
      </c>
      <c r="R28" s="618">
        <v>15000</v>
      </c>
      <c r="S28" s="618">
        <f t="shared" si="3"/>
        <v>210000</v>
      </c>
      <c r="T28" s="618">
        <v>25000</v>
      </c>
      <c r="U28" s="618">
        <f t="shared" si="4"/>
        <v>350000</v>
      </c>
    </row>
    <row r="29" spans="1:242" ht="16" x14ac:dyDescent="0.2">
      <c r="A29" s="618">
        <v>28</v>
      </c>
      <c r="B29" s="618" t="s">
        <v>402</v>
      </c>
      <c r="C29" s="637" t="s">
        <v>671</v>
      </c>
      <c r="D29" s="618" t="s">
        <v>40</v>
      </c>
      <c r="E29" s="618" t="s">
        <v>820</v>
      </c>
      <c r="F29" s="618">
        <v>57</v>
      </c>
      <c r="G29" s="618">
        <v>93</v>
      </c>
      <c r="H29" s="629">
        <v>5</v>
      </c>
      <c r="I29" s="629">
        <v>8</v>
      </c>
      <c r="J29" s="618" t="s">
        <v>627</v>
      </c>
      <c r="K29" s="618">
        <f t="shared" si="5"/>
        <v>9</v>
      </c>
      <c r="L29" s="618">
        <v>18</v>
      </c>
      <c r="M29" s="618">
        <f t="shared" si="1"/>
        <v>720</v>
      </c>
      <c r="N29" s="618">
        <v>21.136099999999999</v>
      </c>
      <c r="O29" s="618">
        <v>79.061199999999999</v>
      </c>
      <c r="P29" s="618">
        <v>12000</v>
      </c>
      <c r="Q29" s="618">
        <f t="shared" si="2"/>
        <v>108000</v>
      </c>
      <c r="R29" s="618">
        <v>15000</v>
      </c>
      <c r="S29" s="618">
        <f t="shared" si="3"/>
        <v>135000</v>
      </c>
      <c r="T29" s="618">
        <v>25000</v>
      </c>
      <c r="U29" s="618">
        <f t="shared" si="4"/>
        <v>225000</v>
      </c>
    </row>
    <row r="30" spans="1:242" ht="16" x14ac:dyDescent="0.2">
      <c r="A30" s="618">
        <v>29</v>
      </c>
      <c r="B30" s="618" t="s">
        <v>402</v>
      </c>
      <c r="C30" s="636" t="s">
        <v>694</v>
      </c>
      <c r="D30" s="618" t="s">
        <v>40</v>
      </c>
      <c r="E30" s="618" t="s">
        <v>820</v>
      </c>
      <c r="F30" s="618">
        <v>57</v>
      </c>
      <c r="G30" s="618">
        <v>93</v>
      </c>
      <c r="H30" s="629">
        <v>5</v>
      </c>
      <c r="I30" s="629">
        <v>8</v>
      </c>
      <c r="J30" s="618" t="s">
        <v>628</v>
      </c>
      <c r="K30" s="618">
        <f t="shared" si="5"/>
        <v>9</v>
      </c>
      <c r="L30" s="618">
        <v>18</v>
      </c>
      <c r="M30" s="618">
        <f t="shared" si="1"/>
        <v>720</v>
      </c>
      <c r="N30" s="618">
        <v>21.134799999999998</v>
      </c>
      <c r="O30" s="618">
        <v>79.058300000000003</v>
      </c>
      <c r="P30" s="618">
        <v>12000</v>
      </c>
      <c r="Q30" s="618">
        <f t="shared" si="2"/>
        <v>108000</v>
      </c>
      <c r="R30" s="618">
        <v>15000</v>
      </c>
      <c r="S30" s="618">
        <f t="shared" si="3"/>
        <v>135000</v>
      </c>
      <c r="T30" s="618">
        <v>25000</v>
      </c>
      <c r="U30" s="618">
        <f t="shared" si="4"/>
        <v>225000</v>
      </c>
    </row>
    <row r="31" spans="1:242" s="598" customFormat="1" ht="16" x14ac:dyDescent="0.2">
      <c r="A31" s="621">
        <v>30</v>
      </c>
      <c r="B31" s="621" t="s">
        <v>402</v>
      </c>
      <c r="C31" s="699" t="s">
        <v>896</v>
      </c>
      <c r="D31" s="621" t="s">
        <v>40</v>
      </c>
      <c r="E31" s="621" t="s">
        <v>820</v>
      </c>
      <c r="F31" s="621">
        <v>57</v>
      </c>
      <c r="G31" s="621">
        <v>93</v>
      </c>
      <c r="H31" s="630">
        <v>5</v>
      </c>
      <c r="I31" s="630">
        <v>8</v>
      </c>
      <c r="J31" s="621" t="s">
        <v>629</v>
      </c>
      <c r="K31" s="621">
        <f t="shared" si="5"/>
        <v>5</v>
      </c>
      <c r="L31" s="621">
        <v>10</v>
      </c>
      <c r="M31" s="621">
        <f t="shared" si="1"/>
        <v>400</v>
      </c>
      <c r="N31" s="589">
        <v>21.133089999999999</v>
      </c>
      <c r="O31" s="589">
        <v>79.055000000000007</v>
      </c>
      <c r="P31" s="621">
        <v>12000</v>
      </c>
      <c r="Q31" s="621">
        <f t="shared" si="2"/>
        <v>60000</v>
      </c>
      <c r="R31" s="621">
        <v>15000</v>
      </c>
      <c r="S31" s="621">
        <f t="shared" si="3"/>
        <v>75000</v>
      </c>
      <c r="T31" s="621">
        <v>20000</v>
      </c>
      <c r="U31" s="621">
        <f t="shared" si="4"/>
        <v>100000</v>
      </c>
    </row>
    <row r="32" spans="1:242" ht="16" x14ac:dyDescent="0.2">
      <c r="A32" s="622">
        <v>31</v>
      </c>
      <c r="B32" s="622" t="s">
        <v>402</v>
      </c>
      <c r="C32" s="623" t="s">
        <v>673</v>
      </c>
      <c r="D32" s="622" t="s">
        <v>40</v>
      </c>
      <c r="E32" s="622" t="s">
        <v>820</v>
      </c>
      <c r="F32" s="622">
        <v>57</v>
      </c>
      <c r="G32" s="622">
        <v>93</v>
      </c>
      <c r="H32" s="631">
        <v>5</v>
      </c>
      <c r="I32" s="631">
        <v>8</v>
      </c>
      <c r="J32" s="622" t="s">
        <v>630</v>
      </c>
      <c r="K32" s="622">
        <f t="shared" si="5"/>
        <v>7</v>
      </c>
      <c r="L32" s="622">
        <v>14</v>
      </c>
      <c r="M32" s="622">
        <f t="shared" si="1"/>
        <v>560</v>
      </c>
      <c r="N32" s="622"/>
      <c r="O32" s="622"/>
      <c r="P32" s="622">
        <v>10000</v>
      </c>
      <c r="Q32" s="622">
        <f t="shared" si="2"/>
        <v>70000</v>
      </c>
      <c r="R32" s="622">
        <v>12000</v>
      </c>
      <c r="S32" s="622">
        <f t="shared" si="3"/>
        <v>84000</v>
      </c>
      <c r="T32" s="622">
        <v>20000</v>
      </c>
      <c r="U32" s="622">
        <f t="shared" si="4"/>
        <v>140000</v>
      </c>
    </row>
    <row r="33" spans="1:21" ht="16" x14ac:dyDescent="0.2">
      <c r="A33" s="622">
        <v>32</v>
      </c>
      <c r="B33" s="622" t="s">
        <v>402</v>
      </c>
      <c r="C33" s="623" t="s">
        <v>674</v>
      </c>
      <c r="D33" s="622" t="s">
        <v>40</v>
      </c>
      <c r="E33" s="622" t="s">
        <v>820</v>
      </c>
      <c r="F33" s="622">
        <v>57</v>
      </c>
      <c r="G33" s="622">
        <v>93</v>
      </c>
      <c r="H33" s="631">
        <v>5</v>
      </c>
      <c r="I33" s="631">
        <v>8</v>
      </c>
      <c r="J33" s="622" t="s">
        <v>631</v>
      </c>
      <c r="K33" s="622">
        <f t="shared" si="5"/>
        <v>6</v>
      </c>
      <c r="L33" s="622">
        <v>12</v>
      </c>
      <c r="M33" s="622">
        <f t="shared" si="1"/>
        <v>480</v>
      </c>
      <c r="N33" s="622"/>
      <c r="O33" s="622"/>
      <c r="P33" s="622">
        <v>10000</v>
      </c>
      <c r="Q33" s="622">
        <f t="shared" si="2"/>
        <v>60000</v>
      </c>
      <c r="R33" s="622">
        <v>12000</v>
      </c>
      <c r="S33" s="622">
        <f t="shared" si="3"/>
        <v>72000</v>
      </c>
      <c r="T33" s="622">
        <v>20000</v>
      </c>
      <c r="U33" s="622">
        <f t="shared" si="4"/>
        <v>120000</v>
      </c>
    </row>
    <row r="34" spans="1:21" ht="16" x14ac:dyDescent="0.2">
      <c r="A34" s="618">
        <v>33</v>
      </c>
      <c r="B34" s="618" t="s">
        <v>402</v>
      </c>
      <c r="C34" s="711" t="s">
        <v>675</v>
      </c>
      <c r="D34" s="618" t="s">
        <v>40</v>
      </c>
      <c r="E34" s="618" t="s">
        <v>820</v>
      </c>
      <c r="F34" s="618">
        <v>57</v>
      </c>
      <c r="G34" s="618">
        <v>93</v>
      </c>
      <c r="H34" s="629">
        <v>5</v>
      </c>
      <c r="I34" s="629">
        <v>8</v>
      </c>
      <c r="J34" s="618" t="s">
        <v>632</v>
      </c>
      <c r="K34" s="618">
        <v>6</v>
      </c>
      <c r="L34" s="618">
        <v>12</v>
      </c>
      <c r="M34" s="618">
        <f t="shared" ref="M34:M57" si="6">H34*I34*L34</f>
        <v>480</v>
      </c>
      <c r="N34" s="589">
        <v>21.130649999999999</v>
      </c>
      <c r="O34" s="589">
        <v>79.049000000000007</v>
      </c>
      <c r="P34" s="618">
        <v>10000</v>
      </c>
      <c r="Q34" s="618">
        <f t="shared" ref="Q34:Q65" si="7">P34*K34</f>
        <v>60000</v>
      </c>
      <c r="R34" s="618">
        <v>12000</v>
      </c>
      <c r="S34" s="618">
        <f t="shared" ref="S34:S65" si="8">R34*K34</f>
        <v>72000</v>
      </c>
      <c r="T34" s="618">
        <v>20000</v>
      </c>
      <c r="U34" s="618">
        <f t="shared" ref="U34:U65" si="9">T34*K34</f>
        <v>120000</v>
      </c>
    </row>
    <row r="35" spans="1:21" s="598" customFormat="1" ht="16" x14ac:dyDescent="0.2">
      <c r="A35" s="621">
        <v>34</v>
      </c>
      <c r="B35" s="621" t="s">
        <v>402</v>
      </c>
      <c r="C35" s="664" t="s">
        <v>850</v>
      </c>
      <c r="D35" s="621" t="s">
        <v>40</v>
      </c>
      <c r="E35" s="621" t="s">
        <v>820</v>
      </c>
      <c r="F35" s="621">
        <v>57</v>
      </c>
      <c r="G35" s="621">
        <v>93</v>
      </c>
      <c r="H35" s="630">
        <v>5</v>
      </c>
      <c r="I35" s="630">
        <v>8</v>
      </c>
      <c r="J35" s="621" t="s">
        <v>838</v>
      </c>
      <c r="K35" s="621">
        <f>L35/2</f>
        <v>6</v>
      </c>
      <c r="L35" s="621">
        <v>12</v>
      </c>
      <c r="M35" s="621">
        <f t="shared" si="6"/>
        <v>480</v>
      </c>
      <c r="N35" s="589">
        <v>21.12491</v>
      </c>
      <c r="O35" s="589">
        <v>79.043999999999997</v>
      </c>
      <c r="P35" s="621">
        <v>10000</v>
      </c>
      <c r="Q35" s="621">
        <f t="shared" si="7"/>
        <v>60000</v>
      </c>
      <c r="R35" s="621">
        <v>12000</v>
      </c>
      <c r="S35" s="621">
        <f t="shared" si="8"/>
        <v>72000</v>
      </c>
      <c r="T35" s="621">
        <v>20000</v>
      </c>
      <c r="U35" s="621">
        <f t="shared" si="9"/>
        <v>120000</v>
      </c>
    </row>
    <row r="36" spans="1:21" ht="16" x14ac:dyDescent="0.2">
      <c r="A36" s="622">
        <v>35</v>
      </c>
      <c r="B36" s="622" t="s">
        <v>402</v>
      </c>
      <c r="C36" s="623" t="s">
        <v>851</v>
      </c>
      <c r="D36" s="622" t="s">
        <v>40</v>
      </c>
      <c r="E36" s="622" t="s">
        <v>820</v>
      </c>
      <c r="F36" s="622">
        <v>5</v>
      </c>
      <c r="G36" s="622">
        <v>8</v>
      </c>
      <c r="H36" s="631">
        <v>5</v>
      </c>
      <c r="I36" s="631">
        <v>8</v>
      </c>
      <c r="J36" s="622" t="s">
        <v>854</v>
      </c>
      <c r="K36" s="622">
        <v>4</v>
      </c>
      <c r="L36" s="622">
        <f>K36*2</f>
        <v>8</v>
      </c>
      <c r="M36" s="622">
        <f t="shared" si="6"/>
        <v>320</v>
      </c>
      <c r="N36" s="622"/>
      <c r="O36" s="622"/>
      <c r="P36" s="622">
        <v>10000</v>
      </c>
      <c r="Q36" s="622">
        <f t="shared" si="7"/>
        <v>40000</v>
      </c>
      <c r="R36" s="622">
        <v>12000</v>
      </c>
      <c r="S36" s="622">
        <f t="shared" si="8"/>
        <v>48000</v>
      </c>
      <c r="T36" s="622">
        <v>20000</v>
      </c>
      <c r="U36" s="622">
        <f t="shared" si="9"/>
        <v>80000</v>
      </c>
    </row>
    <row r="37" spans="1:21" ht="16" x14ac:dyDescent="0.2">
      <c r="A37" s="622">
        <v>36</v>
      </c>
      <c r="B37" s="622" t="s">
        <v>402</v>
      </c>
      <c r="C37" s="623" t="s">
        <v>852</v>
      </c>
      <c r="D37" s="622" t="s">
        <v>40</v>
      </c>
      <c r="E37" s="622" t="s">
        <v>820</v>
      </c>
      <c r="F37" s="622">
        <v>5</v>
      </c>
      <c r="G37" s="622">
        <v>8</v>
      </c>
      <c r="H37" s="631">
        <v>5</v>
      </c>
      <c r="I37" s="631">
        <v>8</v>
      </c>
      <c r="J37" s="622" t="s">
        <v>855</v>
      </c>
      <c r="K37" s="622">
        <v>5</v>
      </c>
      <c r="L37" s="622">
        <f>K37*2</f>
        <v>10</v>
      </c>
      <c r="M37" s="622">
        <f t="shared" si="6"/>
        <v>400</v>
      </c>
      <c r="N37" s="622"/>
      <c r="O37" s="622"/>
      <c r="P37" s="622">
        <v>10000</v>
      </c>
      <c r="Q37" s="622">
        <f t="shared" si="7"/>
        <v>50000</v>
      </c>
      <c r="R37" s="622">
        <v>12000</v>
      </c>
      <c r="S37" s="622">
        <f t="shared" si="8"/>
        <v>60000</v>
      </c>
      <c r="T37" s="622">
        <v>20000</v>
      </c>
      <c r="U37" s="622">
        <f t="shared" si="9"/>
        <v>100000</v>
      </c>
    </row>
    <row r="38" spans="1:21" ht="16" x14ac:dyDescent="0.2">
      <c r="A38" s="622">
        <v>37</v>
      </c>
      <c r="B38" s="622" t="s">
        <v>402</v>
      </c>
      <c r="C38" s="623" t="s">
        <v>853</v>
      </c>
      <c r="D38" s="622" t="s">
        <v>40</v>
      </c>
      <c r="E38" s="622" t="s">
        <v>820</v>
      </c>
      <c r="F38" s="622">
        <v>5</v>
      </c>
      <c r="G38" s="622">
        <v>8</v>
      </c>
      <c r="H38" s="631">
        <v>5</v>
      </c>
      <c r="I38" s="631">
        <v>8</v>
      </c>
      <c r="J38" s="622" t="s">
        <v>856</v>
      </c>
      <c r="K38" s="622">
        <v>5</v>
      </c>
      <c r="L38" s="622">
        <f>K38*2</f>
        <v>10</v>
      </c>
      <c r="M38" s="622">
        <f t="shared" si="6"/>
        <v>400</v>
      </c>
      <c r="N38" s="622"/>
      <c r="O38" s="622"/>
      <c r="P38" s="622">
        <v>10000</v>
      </c>
      <c r="Q38" s="622">
        <f t="shared" si="7"/>
        <v>50000</v>
      </c>
      <c r="R38" s="622">
        <v>12000</v>
      </c>
      <c r="S38" s="622">
        <f t="shared" si="8"/>
        <v>60000</v>
      </c>
      <c r="T38" s="622">
        <v>20000</v>
      </c>
      <c r="U38" s="622">
        <f t="shared" si="9"/>
        <v>100000</v>
      </c>
    </row>
    <row r="39" spans="1:21" ht="16" x14ac:dyDescent="0.2">
      <c r="A39" s="622">
        <v>38</v>
      </c>
      <c r="B39" s="622" t="s">
        <v>402</v>
      </c>
      <c r="C39" s="690" t="s">
        <v>894</v>
      </c>
      <c r="D39" s="622" t="s">
        <v>40</v>
      </c>
      <c r="E39" s="622" t="s">
        <v>820</v>
      </c>
      <c r="F39" s="622">
        <v>57</v>
      </c>
      <c r="G39" s="622">
        <v>93</v>
      </c>
      <c r="H39" s="631">
        <v>5</v>
      </c>
      <c r="I39" s="631">
        <v>8</v>
      </c>
      <c r="J39" s="622" t="s">
        <v>857</v>
      </c>
      <c r="K39" s="622">
        <v>8</v>
      </c>
      <c r="L39" s="622">
        <v>16</v>
      </c>
      <c r="M39" s="622">
        <f t="shared" si="6"/>
        <v>640</v>
      </c>
      <c r="N39" s="622"/>
      <c r="O39" s="622"/>
      <c r="P39" s="622">
        <v>10000</v>
      </c>
      <c r="Q39" s="622">
        <f t="shared" si="7"/>
        <v>80000</v>
      </c>
      <c r="R39" s="622">
        <v>12000</v>
      </c>
      <c r="S39" s="622">
        <f t="shared" si="8"/>
        <v>96000</v>
      </c>
      <c r="T39" s="622">
        <v>20000</v>
      </c>
      <c r="U39" s="622">
        <f t="shared" si="9"/>
        <v>160000</v>
      </c>
    </row>
    <row r="40" spans="1:21" ht="16" x14ac:dyDescent="0.2">
      <c r="A40" s="622">
        <v>39</v>
      </c>
      <c r="B40" s="622" t="s">
        <v>402</v>
      </c>
      <c r="C40" s="623" t="s">
        <v>858</v>
      </c>
      <c r="D40" s="622" t="s">
        <v>40</v>
      </c>
      <c r="E40" s="622" t="s">
        <v>820</v>
      </c>
      <c r="F40" s="622">
        <v>5</v>
      </c>
      <c r="G40" s="622">
        <v>8</v>
      </c>
      <c r="H40" s="631">
        <v>5</v>
      </c>
      <c r="I40" s="631">
        <v>8</v>
      </c>
      <c r="J40" s="622" t="s">
        <v>859</v>
      </c>
      <c r="K40" s="622">
        <v>5</v>
      </c>
      <c r="L40" s="622">
        <v>10</v>
      </c>
      <c r="M40" s="622">
        <f t="shared" si="6"/>
        <v>400</v>
      </c>
      <c r="N40" s="622"/>
      <c r="O40" s="622"/>
      <c r="P40" s="622">
        <v>10000</v>
      </c>
      <c r="Q40" s="622">
        <f t="shared" si="7"/>
        <v>50000</v>
      </c>
      <c r="R40" s="622">
        <v>12000</v>
      </c>
      <c r="S40" s="622">
        <f t="shared" si="8"/>
        <v>60000</v>
      </c>
      <c r="T40" s="622">
        <v>20000</v>
      </c>
      <c r="U40" s="622">
        <f t="shared" si="9"/>
        <v>100000</v>
      </c>
    </row>
    <row r="41" spans="1:21" ht="16" x14ac:dyDescent="0.2">
      <c r="A41" s="622">
        <v>40</v>
      </c>
      <c r="B41" s="622" t="s">
        <v>402</v>
      </c>
      <c r="C41" s="623" t="s">
        <v>860</v>
      </c>
      <c r="D41" s="622" t="s">
        <v>40</v>
      </c>
      <c r="E41" s="622" t="s">
        <v>820</v>
      </c>
      <c r="F41" s="622">
        <v>5</v>
      </c>
      <c r="G41" s="622">
        <v>8</v>
      </c>
      <c r="H41" s="631">
        <v>5</v>
      </c>
      <c r="I41" s="631">
        <v>8</v>
      </c>
      <c r="J41" s="622" t="s">
        <v>861</v>
      </c>
      <c r="K41" s="622">
        <v>4</v>
      </c>
      <c r="L41" s="622">
        <v>8</v>
      </c>
      <c r="M41" s="622">
        <f t="shared" si="6"/>
        <v>320</v>
      </c>
      <c r="N41" s="622"/>
      <c r="O41" s="622"/>
      <c r="P41" s="622">
        <v>10000</v>
      </c>
      <c r="Q41" s="622">
        <f t="shared" si="7"/>
        <v>40000</v>
      </c>
      <c r="R41" s="622">
        <v>12000</v>
      </c>
      <c r="S41" s="622">
        <f t="shared" si="8"/>
        <v>48000</v>
      </c>
      <c r="T41" s="622">
        <v>20000</v>
      </c>
      <c r="U41" s="622">
        <f t="shared" si="9"/>
        <v>80000</v>
      </c>
    </row>
    <row r="42" spans="1:21" ht="16" x14ac:dyDescent="0.2">
      <c r="A42" s="622">
        <v>41</v>
      </c>
      <c r="B42" s="622" t="s">
        <v>402</v>
      </c>
      <c r="C42" s="623" t="s">
        <v>862</v>
      </c>
      <c r="D42" s="622" t="s">
        <v>40</v>
      </c>
      <c r="E42" s="622" t="s">
        <v>820</v>
      </c>
      <c r="F42" s="622">
        <v>5</v>
      </c>
      <c r="G42" s="622">
        <v>8</v>
      </c>
      <c r="H42" s="631">
        <v>5</v>
      </c>
      <c r="I42" s="631">
        <v>8</v>
      </c>
      <c r="J42" s="622" t="s">
        <v>863</v>
      </c>
      <c r="K42" s="622">
        <v>4</v>
      </c>
      <c r="L42" s="622">
        <v>8</v>
      </c>
      <c r="M42" s="622">
        <f t="shared" si="6"/>
        <v>320</v>
      </c>
      <c r="N42" s="622"/>
      <c r="O42" s="622"/>
      <c r="P42" s="622">
        <v>10000</v>
      </c>
      <c r="Q42" s="622">
        <f t="shared" si="7"/>
        <v>40000</v>
      </c>
      <c r="R42" s="622">
        <v>12000</v>
      </c>
      <c r="S42" s="622">
        <f t="shared" si="8"/>
        <v>48000</v>
      </c>
      <c r="T42" s="622">
        <v>20000</v>
      </c>
      <c r="U42" s="622">
        <f t="shared" si="9"/>
        <v>80000</v>
      </c>
    </row>
    <row r="43" spans="1:21" ht="16" x14ac:dyDescent="0.2">
      <c r="A43" s="622">
        <v>42</v>
      </c>
      <c r="B43" s="622" t="s">
        <v>402</v>
      </c>
      <c r="C43" s="623" t="s">
        <v>864</v>
      </c>
      <c r="D43" s="622" t="s">
        <v>40</v>
      </c>
      <c r="E43" s="622" t="s">
        <v>820</v>
      </c>
      <c r="F43" s="622">
        <v>5</v>
      </c>
      <c r="G43" s="622">
        <v>8</v>
      </c>
      <c r="H43" s="631">
        <v>5</v>
      </c>
      <c r="I43" s="631">
        <v>8</v>
      </c>
      <c r="J43" s="622" t="s">
        <v>865</v>
      </c>
      <c r="K43" s="622">
        <v>4</v>
      </c>
      <c r="L43" s="622">
        <v>8</v>
      </c>
      <c r="M43" s="622">
        <f t="shared" si="6"/>
        <v>320</v>
      </c>
      <c r="N43" s="622"/>
      <c r="O43" s="622"/>
      <c r="P43" s="622">
        <v>10000</v>
      </c>
      <c r="Q43" s="622">
        <f t="shared" si="7"/>
        <v>40000</v>
      </c>
      <c r="R43" s="622">
        <v>12000</v>
      </c>
      <c r="S43" s="622">
        <f t="shared" si="8"/>
        <v>48000</v>
      </c>
      <c r="T43" s="622">
        <v>20000</v>
      </c>
      <c r="U43" s="622">
        <f t="shared" si="9"/>
        <v>80000</v>
      </c>
    </row>
    <row r="44" spans="1:21" s="598" customFormat="1" ht="16" x14ac:dyDescent="0.2">
      <c r="A44" s="621">
        <v>43</v>
      </c>
      <c r="B44" s="621" t="s">
        <v>402</v>
      </c>
      <c r="C44" s="664" t="s">
        <v>885</v>
      </c>
      <c r="D44" s="621" t="s">
        <v>40</v>
      </c>
      <c r="E44" s="621" t="s">
        <v>820</v>
      </c>
      <c r="F44" s="621">
        <v>57</v>
      </c>
      <c r="G44" s="621">
        <v>93</v>
      </c>
      <c r="H44" s="630">
        <v>5</v>
      </c>
      <c r="I44" s="630">
        <v>8</v>
      </c>
      <c r="J44" s="621" t="s">
        <v>637</v>
      </c>
      <c r="K44" s="621">
        <f t="shared" ref="K44:K53" si="10">L44/2</f>
        <v>13.5</v>
      </c>
      <c r="L44" s="621">
        <v>27</v>
      </c>
      <c r="M44" s="621">
        <f t="shared" si="6"/>
        <v>1080</v>
      </c>
      <c r="N44" s="589">
        <v>21.119700000000002</v>
      </c>
      <c r="O44" s="589">
        <v>79.021814160677295</v>
      </c>
      <c r="P44" s="621">
        <v>10000</v>
      </c>
      <c r="Q44" s="621">
        <f t="shared" si="7"/>
        <v>135000</v>
      </c>
      <c r="R44" s="621">
        <v>12000</v>
      </c>
      <c r="S44" s="621">
        <f t="shared" si="8"/>
        <v>162000</v>
      </c>
      <c r="T44" s="621">
        <v>20000</v>
      </c>
      <c r="U44" s="621">
        <f t="shared" si="9"/>
        <v>270000</v>
      </c>
    </row>
    <row r="45" spans="1:21" ht="16" x14ac:dyDescent="0.2">
      <c r="A45" s="622">
        <v>44</v>
      </c>
      <c r="B45" s="622" t="s">
        <v>402</v>
      </c>
      <c r="C45" s="623" t="s">
        <v>690</v>
      </c>
      <c r="D45" s="622" t="s">
        <v>40</v>
      </c>
      <c r="E45" s="622" t="s">
        <v>820</v>
      </c>
      <c r="F45" s="622">
        <v>57</v>
      </c>
      <c r="G45" s="631">
        <v>93</v>
      </c>
      <c r="H45" s="631">
        <v>5</v>
      </c>
      <c r="I45" s="631">
        <v>8</v>
      </c>
      <c r="J45" s="622" t="s">
        <v>638</v>
      </c>
      <c r="K45" s="622">
        <f t="shared" si="10"/>
        <v>10</v>
      </c>
      <c r="L45" s="622">
        <v>20</v>
      </c>
      <c r="M45" s="622">
        <f t="shared" si="6"/>
        <v>800</v>
      </c>
      <c r="N45" s="622"/>
      <c r="O45" s="622"/>
      <c r="P45" s="622">
        <v>10000</v>
      </c>
      <c r="Q45" s="622">
        <f t="shared" si="7"/>
        <v>100000</v>
      </c>
      <c r="R45" s="622">
        <v>12000</v>
      </c>
      <c r="S45" s="622">
        <f t="shared" si="8"/>
        <v>120000</v>
      </c>
      <c r="T45" s="622">
        <v>20000</v>
      </c>
      <c r="U45" s="622">
        <f t="shared" si="9"/>
        <v>200000</v>
      </c>
    </row>
    <row r="46" spans="1:21" s="598" customFormat="1" ht="16" x14ac:dyDescent="0.2">
      <c r="A46" s="621">
        <v>45</v>
      </c>
      <c r="B46" s="621" t="s">
        <v>402</v>
      </c>
      <c r="C46" s="689" t="s">
        <v>892</v>
      </c>
      <c r="D46" s="621" t="s">
        <v>40</v>
      </c>
      <c r="E46" s="621" t="s">
        <v>820</v>
      </c>
      <c r="F46" s="621">
        <v>57</v>
      </c>
      <c r="G46" s="621">
        <v>93</v>
      </c>
      <c r="H46" s="630">
        <v>5</v>
      </c>
      <c r="I46" s="630">
        <v>8</v>
      </c>
      <c r="J46" s="621" t="s">
        <v>639</v>
      </c>
      <c r="K46" s="621">
        <f t="shared" si="10"/>
        <v>6</v>
      </c>
      <c r="L46" s="621">
        <v>12</v>
      </c>
      <c r="M46" s="621">
        <f t="shared" si="6"/>
        <v>480</v>
      </c>
      <c r="N46" s="589">
        <v>21.1189</v>
      </c>
      <c r="O46" s="589">
        <v>79.019979335847594</v>
      </c>
      <c r="P46" s="621">
        <v>10000</v>
      </c>
      <c r="Q46" s="621">
        <f t="shared" si="7"/>
        <v>60000</v>
      </c>
      <c r="R46" s="621">
        <v>12000</v>
      </c>
      <c r="S46" s="621">
        <f t="shared" si="8"/>
        <v>72000</v>
      </c>
      <c r="T46" s="621">
        <v>20000</v>
      </c>
      <c r="U46" s="621">
        <f t="shared" si="9"/>
        <v>120000</v>
      </c>
    </row>
    <row r="47" spans="1:21" s="598" customFormat="1" ht="16" x14ac:dyDescent="0.2">
      <c r="A47" s="621">
        <v>46</v>
      </c>
      <c r="B47" s="621" t="s">
        <v>402</v>
      </c>
      <c r="C47" s="640" t="s">
        <v>733</v>
      </c>
      <c r="D47" s="621" t="s">
        <v>40</v>
      </c>
      <c r="E47" s="621" t="s">
        <v>820</v>
      </c>
      <c r="F47" s="621">
        <v>57</v>
      </c>
      <c r="G47" s="621">
        <v>93</v>
      </c>
      <c r="H47" s="630">
        <v>5</v>
      </c>
      <c r="I47" s="630">
        <v>8</v>
      </c>
      <c r="J47" s="621" t="s">
        <v>640</v>
      </c>
      <c r="K47" s="621">
        <f t="shared" si="10"/>
        <v>8</v>
      </c>
      <c r="L47" s="621">
        <v>16</v>
      </c>
      <c r="M47" s="621">
        <f t="shared" si="6"/>
        <v>640</v>
      </c>
      <c r="N47" s="589">
        <v>21.1174</v>
      </c>
      <c r="O47" s="589">
        <v>79.016891541821096</v>
      </c>
      <c r="P47" s="621">
        <v>10000</v>
      </c>
      <c r="Q47" s="621">
        <f t="shared" si="7"/>
        <v>80000</v>
      </c>
      <c r="R47" s="621">
        <v>12000</v>
      </c>
      <c r="S47" s="621">
        <f t="shared" si="8"/>
        <v>96000</v>
      </c>
      <c r="T47" s="621">
        <v>20000</v>
      </c>
      <c r="U47" s="621">
        <f t="shared" si="9"/>
        <v>160000</v>
      </c>
    </row>
    <row r="48" spans="1:21" s="687" customFormat="1" ht="16" x14ac:dyDescent="0.2">
      <c r="A48" s="621">
        <v>47</v>
      </c>
      <c r="B48" s="621" t="s">
        <v>402</v>
      </c>
      <c r="C48" s="688" t="s">
        <v>890</v>
      </c>
      <c r="D48" s="621" t="s">
        <v>40</v>
      </c>
      <c r="E48" s="621" t="s">
        <v>820</v>
      </c>
      <c r="F48" s="621">
        <v>57</v>
      </c>
      <c r="G48" s="621">
        <v>93</v>
      </c>
      <c r="H48" s="630">
        <v>5</v>
      </c>
      <c r="I48" s="630">
        <v>8</v>
      </c>
      <c r="J48" s="621" t="s">
        <v>641</v>
      </c>
      <c r="K48" s="621">
        <f>L48/2</f>
        <v>8</v>
      </c>
      <c r="L48" s="621">
        <v>16</v>
      </c>
      <c r="M48" s="621">
        <f t="shared" si="6"/>
        <v>640</v>
      </c>
      <c r="N48" s="621">
        <v>21.117699999999999</v>
      </c>
      <c r="O48" s="621">
        <v>79.014899999999997</v>
      </c>
      <c r="P48" s="621">
        <v>10000</v>
      </c>
      <c r="Q48" s="621">
        <f t="shared" si="7"/>
        <v>80000</v>
      </c>
      <c r="R48" s="621">
        <v>12000</v>
      </c>
      <c r="S48" s="621">
        <f t="shared" si="8"/>
        <v>96000</v>
      </c>
      <c r="T48" s="621">
        <v>20000</v>
      </c>
      <c r="U48" s="621">
        <f t="shared" si="9"/>
        <v>160000</v>
      </c>
    </row>
    <row r="49" spans="1:22" s="598" customFormat="1" ht="16" x14ac:dyDescent="0.2">
      <c r="A49" s="621">
        <v>48</v>
      </c>
      <c r="B49" s="621" t="s">
        <v>402</v>
      </c>
      <c r="C49" s="664" t="s">
        <v>734</v>
      </c>
      <c r="D49" s="621" t="s">
        <v>40</v>
      </c>
      <c r="E49" s="621" t="s">
        <v>820</v>
      </c>
      <c r="F49" s="621">
        <v>57</v>
      </c>
      <c r="G49" s="621">
        <v>93</v>
      </c>
      <c r="H49" s="630">
        <v>5</v>
      </c>
      <c r="I49" s="630">
        <v>8</v>
      </c>
      <c r="J49" s="621" t="s">
        <v>642</v>
      </c>
      <c r="K49" s="621">
        <f t="shared" si="10"/>
        <v>5</v>
      </c>
      <c r="L49" s="621">
        <v>10</v>
      </c>
      <c r="M49" s="621">
        <f t="shared" si="6"/>
        <v>400</v>
      </c>
      <c r="N49" s="621">
        <v>21.116299999999999</v>
      </c>
      <c r="O49" s="621">
        <v>79.012900000000002</v>
      </c>
      <c r="P49" s="621">
        <v>10000</v>
      </c>
      <c r="Q49" s="621">
        <f t="shared" si="7"/>
        <v>50000</v>
      </c>
      <c r="R49" s="621">
        <v>12000</v>
      </c>
      <c r="S49" s="621">
        <f t="shared" si="8"/>
        <v>60000</v>
      </c>
      <c r="T49" s="621">
        <v>20000</v>
      </c>
      <c r="U49" s="621">
        <f t="shared" si="9"/>
        <v>100000</v>
      </c>
    </row>
    <row r="50" spans="1:22" s="598" customFormat="1" ht="16" x14ac:dyDescent="0.2">
      <c r="A50" s="621">
        <v>49</v>
      </c>
      <c r="B50" s="621" t="s">
        <v>402</v>
      </c>
      <c r="C50" s="660" t="s">
        <v>735</v>
      </c>
      <c r="D50" s="621" t="s">
        <v>40</v>
      </c>
      <c r="E50" s="621" t="s">
        <v>820</v>
      </c>
      <c r="F50" s="621">
        <v>57</v>
      </c>
      <c r="G50" s="621">
        <v>93</v>
      </c>
      <c r="H50" s="630">
        <v>5</v>
      </c>
      <c r="I50" s="630">
        <v>8</v>
      </c>
      <c r="J50" s="621" t="s">
        <v>643</v>
      </c>
      <c r="K50" s="621">
        <f t="shared" si="10"/>
        <v>9</v>
      </c>
      <c r="L50" s="621">
        <v>18</v>
      </c>
      <c r="M50" s="621">
        <f t="shared" si="6"/>
        <v>720</v>
      </c>
      <c r="N50" s="589">
        <v>21.114899999999999</v>
      </c>
      <c r="O50" s="589">
        <v>79.010999999999996</v>
      </c>
      <c r="P50" s="621">
        <v>10000</v>
      </c>
      <c r="Q50" s="621">
        <f t="shared" si="7"/>
        <v>90000</v>
      </c>
      <c r="R50" s="621">
        <v>12000</v>
      </c>
      <c r="S50" s="621">
        <f t="shared" si="8"/>
        <v>108000</v>
      </c>
      <c r="T50" s="621">
        <v>20000</v>
      </c>
      <c r="U50" s="621">
        <f t="shared" si="9"/>
        <v>180000</v>
      </c>
    </row>
    <row r="51" spans="1:22" s="598" customFormat="1" ht="16" x14ac:dyDescent="0.2">
      <c r="A51" s="621">
        <v>50</v>
      </c>
      <c r="B51" s="621" t="s">
        <v>402</v>
      </c>
      <c r="C51" s="641" t="s">
        <v>736</v>
      </c>
      <c r="D51" s="621" t="s">
        <v>40</v>
      </c>
      <c r="E51" s="621" t="s">
        <v>820</v>
      </c>
      <c r="F51" s="621">
        <v>57</v>
      </c>
      <c r="G51" s="621">
        <v>93</v>
      </c>
      <c r="H51" s="630">
        <v>5</v>
      </c>
      <c r="I51" s="630">
        <v>8</v>
      </c>
      <c r="J51" s="621" t="s">
        <v>644</v>
      </c>
      <c r="K51" s="621">
        <f t="shared" si="10"/>
        <v>7</v>
      </c>
      <c r="L51" s="621">
        <v>14</v>
      </c>
      <c r="M51" s="621">
        <f t="shared" si="6"/>
        <v>560</v>
      </c>
      <c r="N51" s="621">
        <v>21.11402</v>
      </c>
      <c r="O51" s="621">
        <v>79.009200000000007</v>
      </c>
      <c r="P51" s="621">
        <v>10000</v>
      </c>
      <c r="Q51" s="621">
        <f t="shared" si="7"/>
        <v>70000</v>
      </c>
      <c r="R51" s="621">
        <v>12000</v>
      </c>
      <c r="S51" s="621">
        <f t="shared" si="8"/>
        <v>84000</v>
      </c>
      <c r="T51" s="621">
        <v>20000</v>
      </c>
      <c r="U51" s="621">
        <f t="shared" si="9"/>
        <v>140000</v>
      </c>
    </row>
    <row r="52" spans="1:22" s="598" customFormat="1" ht="16" x14ac:dyDescent="0.2">
      <c r="A52" s="621">
        <v>51</v>
      </c>
      <c r="B52" s="621" t="s">
        <v>402</v>
      </c>
      <c r="C52" s="689" t="s">
        <v>893</v>
      </c>
      <c r="D52" s="621" t="s">
        <v>40</v>
      </c>
      <c r="E52" s="621" t="s">
        <v>820</v>
      </c>
      <c r="F52" s="621">
        <v>57</v>
      </c>
      <c r="G52" s="621">
        <v>93</v>
      </c>
      <c r="H52" s="630">
        <v>5</v>
      </c>
      <c r="I52" s="630">
        <v>8</v>
      </c>
      <c r="J52" s="621" t="s">
        <v>644</v>
      </c>
      <c r="K52" s="621">
        <f t="shared" si="10"/>
        <v>7</v>
      </c>
      <c r="L52" s="621">
        <v>14</v>
      </c>
      <c r="M52" s="621">
        <f t="shared" si="6"/>
        <v>560</v>
      </c>
      <c r="N52" s="621">
        <v>21.1128</v>
      </c>
      <c r="O52" s="621">
        <v>79.006200000000007</v>
      </c>
      <c r="P52" s="621">
        <v>10000</v>
      </c>
      <c r="Q52" s="621">
        <f t="shared" si="7"/>
        <v>70000</v>
      </c>
      <c r="R52" s="621">
        <v>12000</v>
      </c>
      <c r="S52" s="621">
        <f t="shared" si="8"/>
        <v>84000</v>
      </c>
      <c r="T52" s="621">
        <v>20000</v>
      </c>
      <c r="U52" s="621">
        <f t="shared" si="9"/>
        <v>140000</v>
      </c>
    </row>
    <row r="53" spans="1:22" s="598" customFormat="1" ht="16" x14ac:dyDescent="0.2">
      <c r="A53" s="621">
        <v>52</v>
      </c>
      <c r="B53" s="621" t="s">
        <v>402</v>
      </c>
      <c r="C53" s="664" t="s">
        <v>737</v>
      </c>
      <c r="D53" s="621" t="s">
        <v>40</v>
      </c>
      <c r="E53" s="621" t="s">
        <v>820</v>
      </c>
      <c r="F53" s="621">
        <v>57</v>
      </c>
      <c r="G53" s="621">
        <v>93</v>
      </c>
      <c r="H53" s="630">
        <v>5</v>
      </c>
      <c r="I53" s="630">
        <v>8</v>
      </c>
      <c r="J53" s="621" t="s">
        <v>646</v>
      </c>
      <c r="K53" s="621">
        <f t="shared" si="10"/>
        <v>8</v>
      </c>
      <c r="L53" s="621">
        <v>16</v>
      </c>
      <c r="M53" s="621">
        <f t="shared" si="6"/>
        <v>640</v>
      </c>
      <c r="N53" s="589">
        <v>21.112069999999999</v>
      </c>
      <c r="O53" s="589">
        <v>79.004599999999996</v>
      </c>
      <c r="P53" s="621">
        <v>10000</v>
      </c>
      <c r="Q53" s="621">
        <f t="shared" si="7"/>
        <v>80000</v>
      </c>
      <c r="R53" s="621">
        <v>12000</v>
      </c>
      <c r="S53" s="621">
        <f t="shared" si="8"/>
        <v>96000</v>
      </c>
      <c r="T53" s="621">
        <v>20000</v>
      </c>
      <c r="U53" s="621">
        <f t="shared" si="9"/>
        <v>160000</v>
      </c>
      <c r="V53" s="599"/>
    </row>
    <row r="54" spans="1:22" s="598" customFormat="1" ht="16" x14ac:dyDescent="0.2">
      <c r="A54" s="621">
        <v>53</v>
      </c>
      <c r="B54" s="621" t="s">
        <v>402</v>
      </c>
      <c r="C54" s="660" t="s">
        <v>681</v>
      </c>
      <c r="D54" s="621" t="s">
        <v>40</v>
      </c>
      <c r="E54" s="621" t="s">
        <v>820</v>
      </c>
      <c r="F54" s="621">
        <v>57</v>
      </c>
      <c r="G54" s="621">
        <v>93</v>
      </c>
      <c r="H54" s="630">
        <v>5</v>
      </c>
      <c r="I54" s="630">
        <v>8</v>
      </c>
      <c r="J54" s="621" t="s">
        <v>827</v>
      </c>
      <c r="K54" s="621">
        <v>9</v>
      </c>
      <c r="L54" s="621">
        <v>18</v>
      </c>
      <c r="M54" s="621">
        <f t="shared" si="6"/>
        <v>720</v>
      </c>
      <c r="N54" s="589">
        <v>21.110600000000002</v>
      </c>
      <c r="O54" s="589">
        <v>79.001499999999993</v>
      </c>
      <c r="P54" s="621">
        <v>10000</v>
      </c>
      <c r="Q54" s="621">
        <f t="shared" si="7"/>
        <v>90000</v>
      </c>
      <c r="R54" s="621">
        <v>12000</v>
      </c>
      <c r="S54" s="621">
        <f t="shared" si="8"/>
        <v>108000</v>
      </c>
      <c r="T54" s="621">
        <v>20000</v>
      </c>
      <c r="U54" s="621">
        <f t="shared" si="9"/>
        <v>180000</v>
      </c>
    </row>
    <row r="55" spans="1:22" s="598" customFormat="1" ht="16" x14ac:dyDescent="0.2">
      <c r="A55" s="621">
        <v>54</v>
      </c>
      <c r="B55" s="621" t="s">
        <v>402</v>
      </c>
      <c r="C55" s="712" t="s">
        <v>891</v>
      </c>
      <c r="D55" s="621" t="s">
        <v>40</v>
      </c>
      <c r="E55" s="621" t="s">
        <v>820</v>
      </c>
      <c r="F55" s="621">
        <v>57</v>
      </c>
      <c r="G55" s="621">
        <v>93</v>
      </c>
      <c r="H55" s="630">
        <v>5</v>
      </c>
      <c r="I55" s="630">
        <v>8</v>
      </c>
      <c r="J55" s="621" t="s">
        <v>648</v>
      </c>
      <c r="K55" s="621">
        <f>L55/2</f>
        <v>8</v>
      </c>
      <c r="L55" s="621">
        <v>16</v>
      </c>
      <c r="M55" s="621">
        <f t="shared" si="6"/>
        <v>640</v>
      </c>
      <c r="N55" s="589">
        <v>21.109100000000002</v>
      </c>
      <c r="O55" s="589">
        <v>78.999099999999999</v>
      </c>
      <c r="P55" s="621">
        <v>10000</v>
      </c>
      <c r="Q55" s="621">
        <f t="shared" si="7"/>
        <v>80000</v>
      </c>
      <c r="R55" s="621">
        <v>12000</v>
      </c>
      <c r="S55" s="621">
        <f t="shared" si="8"/>
        <v>96000</v>
      </c>
      <c r="T55" s="621">
        <v>20000</v>
      </c>
      <c r="U55" s="621">
        <f t="shared" si="9"/>
        <v>160000</v>
      </c>
    </row>
    <row r="56" spans="1:22" ht="16" x14ac:dyDescent="0.2">
      <c r="A56" s="622">
        <v>55</v>
      </c>
      <c r="B56" s="622" t="s">
        <v>402</v>
      </c>
      <c r="C56" s="623" t="s">
        <v>738</v>
      </c>
      <c r="D56" s="622" t="s">
        <v>40</v>
      </c>
      <c r="E56" s="622" t="s">
        <v>820</v>
      </c>
      <c r="F56" s="622">
        <v>57</v>
      </c>
      <c r="G56" s="622">
        <v>93</v>
      </c>
      <c r="H56" s="622">
        <v>5</v>
      </c>
      <c r="I56" s="631">
        <v>8</v>
      </c>
      <c r="J56" s="622" t="s">
        <v>649</v>
      </c>
      <c r="K56" s="622">
        <f>L56/2</f>
        <v>7</v>
      </c>
      <c r="L56" s="622">
        <v>14</v>
      </c>
      <c r="M56" s="622">
        <f t="shared" si="6"/>
        <v>560</v>
      </c>
      <c r="N56" s="622"/>
      <c r="O56" s="622"/>
      <c r="P56" s="622">
        <v>10000</v>
      </c>
      <c r="Q56" s="622">
        <f t="shared" si="7"/>
        <v>70000</v>
      </c>
      <c r="R56" s="622">
        <v>12000</v>
      </c>
      <c r="S56" s="622">
        <f t="shared" si="8"/>
        <v>84000</v>
      </c>
      <c r="T56" s="622">
        <v>20000</v>
      </c>
      <c r="U56" s="622">
        <f t="shared" si="9"/>
        <v>140000</v>
      </c>
    </row>
    <row r="57" spans="1:22" s="600" customFormat="1" ht="16" x14ac:dyDescent="0.2">
      <c r="A57" s="621">
        <v>56</v>
      </c>
      <c r="B57" s="621" t="s">
        <v>402</v>
      </c>
      <c r="C57" s="664" t="s">
        <v>678</v>
      </c>
      <c r="D57" s="621" t="s">
        <v>40</v>
      </c>
      <c r="E57" s="621" t="s">
        <v>820</v>
      </c>
      <c r="F57" s="621">
        <v>57</v>
      </c>
      <c r="G57" s="621">
        <v>93</v>
      </c>
      <c r="H57" s="630">
        <v>5</v>
      </c>
      <c r="I57" s="630">
        <v>8</v>
      </c>
      <c r="J57" s="621" t="s">
        <v>884</v>
      </c>
      <c r="K57" s="621">
        <v>11</v>
      </c>
      <c r="L57" s="621">
        <v>22</v>
      </c>
      <c r="M57" s="621">
        <f t="shared" si="6"/>
        <v>880</v>
      </c>
      <c r="N57" s="589">
        <v>21.106010000000001</v>
      </c>
      <c r="O57" s="589">
        <v>78.994100000000003</v>
      </c>
      <c r="P57" s="621">
        <v>10000</v>
      </c>
      <c r="Q57" s="621">
        <f t="shared" si="7"/>
        <v>110000</v>
      </c>
      <c r="R57" s="621">
        <v>12000</v>
      </c>
      <c r="S57" s="621">
        <f t="shared" si="8"/>
        <v>132000</v>
      </c>
      <c r="T57" s="621">
        <v>20000</v>
      </c>
      <c r="U57" s="621">
        <f t="shared" si="9"/>
        <v>220000</v>
      </c>
    </row>
    <row r="58" spans="1:22" s="469" customFormat="1" x14ac:dyDescent="0.2">
      <c r="A58" s="619"/>
      <c r="B58" s="618"/>
      <c r="C58" s="625"/>
      <c r="D58" s="618"/>
      <c r="E58" s="618"/>
      <c r="F58" s="618"/>
      <c r="G58" s="618"/>
      <c r="H58" s="618"/>
      <c r="I58" s="618"/>
      <c r="J58" s="618"/>
      <c r="K58" s="618">
        <f>SUM(K2:K57)</f>
        <v>432.5</v>
      </c>
      <c r="L58" s="618">
        <f>SUM(L2:L57)</f>
        <v>864</v>
      </c>
      <c r="M58" s="618">
        <v>37660</v>
      </c>
      <c r="N58" s="618"/>
      <c r="O58" s="618"/>
      <c r="P58" s="618"/>
      <c r="Q58" s="618"/>
      <c r="R58" s="618"/>
      <c r="S58" s="618"/>
      <c r="T58" s="618"/>
      <c r="U58" s="618"/>
    </row>
    <row r="59" spans="1:22" s="469" customFormat="1" x14ac:dyDescent="0.2">
      <c r="A59" s="324"/>
      <c r="B59" s="395"/>
      <c r="D59" s="395"/>
      <c r="E59" s="395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</row>
    <row r="60" spans="1:22" s="469" customFormat="1" ht="16" x14ac:dyDescent="0.2">
      <c r="A60" s="324"/>
      <c r="B60" s="681"/>
      <c r="C60" s="542"/>
      <c r="D60" s="540"/>
      <c r="E60" s="539"/>
      <c r="F60" s="539"/>
      <c r="G60" s="539"/>
      <c r="H60" s="539"/>
      <c r="I60" s="539"/>
      <c r="J60" s="539"/>
      <c r="K60" s="539"/>
      <c r="L60" s="626" t="s">
        <v>882</v>
      </c>
      <c r="M60" s="539"/>
      <c r="N60" s="539"/>
      <c r="O60" s="539"/>
      <c r="P60" s="539"/>
      <c r="Q60" s="539"/>
      <c r="R60" s="539"/>
      <c r="S60" s="395"/>
      <c r="T60" s="395"/>
      <c r="U60" s="395"/>
    </row>
    <row r="61" spans="1:22" ht="16" x14ac:dyDescent="0.2">
      <c r="B61" s="682"/>
      <c r="C61" s="543"/>
      <c r="D61" s="540"/>
      <c r="E61" s="539"/>
      <c r="F61" s="539"/>
      <c r="G61" s="539"/>
      <c r="H61" s="539"/>
      <c r="I61" s="539"/>
      <c r="J61" s="539"/>
      <c r="K61" s="539"/>
      <c r="L61" s="539"/>
      <c r="M61" s="539"/>
      <c r="N61" s="539"/>
      <c r="O61" s="539"/>
      <c r="P61" s="539"/>
      <c r="Q61" s="539"/>
      <c r="R61" s="539"/>
    </row>
    <row r="62" spans="1:22" ht="16" x14ac:dyDescent="0.2">
      <c r="B62" s="682"/>
      <c r="C62" s="545"/>
      <c r="D62" s="540"/>
      <c r="E62" s="539"/>
      <c r="F62" s="539"/>
      <c r="G62" s="539"/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</row>
    <row r="63" spans="1:22" ht="16" x14ac:dyDescent="0.2">
      <c r="B63" s="682"/>
      <c r="C63" s="541"/>
      <c r="D63" s="540"/>
      <c r="E63" s="539"/>
      <c r="F63" s="539"/>
      <c r="G63" s="539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</row>
    <row r="64" spans="1:22" ht="16" x14ac:dyDescent="0.2">
      <c r="B64" s="682"/>
      <c r="C64" s="541"/>
      <c r="D64" s="540"/>
      <c r="E64" s="539"/>
      <c r="F64" s="539"/>
      <c r="G64" s="539"/>
      <c r="H64" s="539"/>
      <c r="I64" s="539"/>
      <c r="J64" s="539"/>
      <c r="K64" s="539"/>
      <c r="L64" s="539"/>
      <c r="M64" s="539"/>
      <c r="N64" s="539"/>
      <c r="O64" s="539"/>
      <c r="P64" s="539"/>
      <c r="Q64" s="539"/>
      <c r="R64" s="539"/>
    </row>
    <row r="65" spans="2:18" ht="16" x14ac:dyDescent="0.2">
      <c r="B65" s="682"/>
      <c r="C65" s="541"/>
      <c r="D65" s="540"/>
      <c r="E65" s="539"/>
      <c r="F65" s="539"/>
      <c r="G65" s="539"/>
      <c r="H65" s="539"/>
      <c r="I65" s="539"/>
      <c r="J65" s="539"/>
      <c r="K65" s="539"/>
      <c r="L65"/>
      <c r="M65"/>
      <c r="N65"/>
      <c r="O65"/>
      <c r="P65"/>
      <c r="Q65"/>
      <c r="R65"/>
    </row>
    <row r="66" spans="2:18" ht="16" x14ac:dyDescent="0.2">
      <c r="B66" s="682"/>
      <c r="C66" s="541"/>
      <c r="D66" s="540"/>
      <c r="E66" s="539"/>
      <c r="F66" s="539"/>
      <c r="G66" s="539"/>
      <c r="H66" s="539"/>
      <c r="I66" s="539"/>
      <c r="J66" s="539"/>
      <c r="K66" s="539"/>
      <c r="L66"/>
      <c r="M66"/>
      <c r="N66"/>
      <c r="O66"/>
      <c r="P66"/>
      <c r="Q66"/>
      <c r="R66"/>
    </row>
    <row r="67" spans="2:18" ht="16" x14ac:dyDescent="0.2">
      <c r="B67" s="682"/>
      <c r="C67" s="541"/>
      <c r="D67" s="540"/>
      <c r="E67" s="539"/>
      <c r="F67" s="539"/>
      <c r="G67" s="539"/>
      <c r="H67" s="539"/>
      <c r="I67" s="539"/>
      <c r="J67" s="539"/>
      <c r="K67" s="539"/>
      <c r="L67"/>
      <c r="M67"/>
      <c r="N67"/>
      <c r="O67"/>
      <c r="P67"/>
      <c r="Q67"/>
      <c r="R67"/>
    </row>
    <row r="68" spans="2:18" ht="16" x14ac:dyDescent="0.2">
      <c r="B68" s="682"/>
      <c r="C68" s="541"/>
      <c r="D68" s="540"/>
      <c r="E68" s="539"/>
      <c r="F68" s="539"/>
      <c r="G68" s="539"/>
      <c r="H68" s="539"/>
      <c r="I68" s="539"/>
      <c r="J68" s="539"/>
      <c r="K68" s="539"/>
      <c r="L68"/>
      <c r="M68"/>
      <c r="N68"/>
      <c r="O68"/>
      <c r="P68"/>
      <c r="Q68"/>
      <c r="R68"/>
    </row>
    <row r="69" spans="2:18" ht="16" x14ac:dyDescent="0.2">
      <c r="B69" s="682"/>
      <c r="C69" s="541"/>
      <c r="D69" s="540"/>
      <c r="E69" s="539"/>
      <c r="F69" s="539"/>
      <c r="G69" s="539"/>
      <c r="H69" s="539"/>
      <c r="I69" s="539"/>
      <c r="J69" s="539"/>
      <c r="K69" s="539"/>
      <c r="L69"/>
      <c r="M69"/>
      <c r="N69"/>
      <c r="O69"/>
      <c r="P69"/>
      <c r="Q69"/>
      <c r="R69"/>
    </row>
    <row r="70" spans="2:18" ht="16" x14ac:dyDescent="0.2">
      <c r="B70" s="682"/>
      <c r="C70" s="541"/>
      <c r="D70" s="540"/>
      <c r="E70" s="539"/>
      <c r="F70" s="539"/>
      <c r="G70" s="539"/>
      <c r="H70" s="539"/>
      <c r="I70" s="539"/>
      <c r="J70" s="539"/>
      <c r="K70" s="539"/>
      <c r="L70"/>
      <c r="M70"/>
      <c r="N70"/>
      <c r="O70"/>
      <c r="P70"/>
      <c r="Q70"/>
      <c r="R70"/>
    </row>
    <row r="71" spans="2:18" ht="16" x14ac:dyDescent="0.2">
      <c r="B71" s="682"/>
      <c r="C71" s="541"/>
      <c r="D71" s="540"/>
      <c r="E71" s="539"/>
      <c r="F71" s="539"/>
      <c r="G71" s="539"/>
      <c r="H71" s="539"/>
      <c r="I71" s="539"/>
      <c r="J71" s="539"/>
      <c r="K71" s="539"/>
      <c r="L71"/>
      <c r="M71"/>
      <c r="N71"/>
      <c r="O71"/>
      <c r="P71"/>
      <c r="Q71"/>
      <c r="R71"/>
    </row>
    <row r="72" spans="2:18" ht="16" x14ac:dyDescent="0.2">
      <c r="C72" s="579"/>
      <c r="D72" s="540"/>
    </row>
    <row r="73" spans="2:18" ht="16" x14ac:dyDescent="0.2">
      <c r="C73" s="553"/>
      <c r="D73" s="540"/>
    </row>
    <row r="74" spans="2:18" ht="16" x14ac:dyDescent="0.2">
      <c r="C74" s="554"/>
    </row>
    <row r="75" spans="2:18" ht="16" x14ac:dyDescent="0.2">
      <c r="C75" s="552"/>
    </row>
    <row r="76" spans="2:18" ht="16" x14ac:dyDescent="0.2">
      <c r="C76" s="552"/>
    </row>
    <row r="77" spans="2:18" ht="16" x14ac:dyDescent="0.2">
      <c r="C77" s="592"/>
    </row>
    <row r="81" spans="3:21" ht="16" x14ac:dyDescent="0.2">
      <c r="L81" s="395" t="s">
        <v>882</v>
      </c>
    </row>
    <row r="82" spans="3:21" x14ac:dyDescent="0.2">
      <c r="J82"/>
      <c r="K82"/>
      <c r="L82"/>
      <c r="M82"/>
    </row>
    <row r="83" spans="3:21" x14ac:dyDescent="0.2">
      <c r="J83"/>
      <c r="K83"/>
      <c r="L83"/>
      <c r="M83"/>
    </row>
    <row r="84" spans="3:21" x14ac:dyDescent="0.2">
      <c r="J84"/>
      <c r="K84"/>
      <c r="L84"/>
      <c r="M84"/>
      <c r="R84"/>
      <c r="T84"/>
      <c r="U84"/>
    </row>
    <row r="85" spans="3:21" x14ac:dyDescent="0.2">
      <c r="J85"/>
      <c r="K85"/>
      <c r="L85"/>
      <c r="M85"/>
      <c r="R85"/>
      <c r="T85"/>
      <c r="U85"/>
    </row>
    <row r="86" spans="3:21" x14ac:dyDescent="0.2">
      <c r="J86"/>
      <c r="K86"/>
      <c r="L86"/>
      <c r="M86"/>
      <c r="R86"/>
      <c r="T86"/>
      <c r="U86"/>
    </row>
    <row r="87" spans="3:21" x14ac:dyDescent="0.2">
      <c r="C87" s="395"/>
      <c r="J87"/>
      <c r="K87"/>
      <c r="L87"/>
      <c r="M87"/>
      <c r="R87"/>
      <c r="T87"/>
      <c r="U87"/>
    </row>
    <row r="88" spans="3:21" x14ac:dyDescent="0.2">
      <c r="J88"/>
      <c r="K88"/>
      <c r="L88"/>
      <c r="M88"/>
      <c r="R88"/>
      <c r="T88"/>
      <c r="U88"/>
    </row>
    <row r="89" spans="3:21" x14ac:dyDescent="0.2">
      <c r="J89"/>
      <c r="K89"/>
      <c r="L89"/>
      <c r="M89"/>
      <c r="T89"/>
      <c r="U89"/>
    </row>
    <row r="90" spans="3:21" x14ac:dyDescent="0.2">
      <c r="J90"/>
      <c r="K90"/>
      <c r="L90"/>
      <c r="M90"/>
      <c r="T90"/>
      <c r="U90"/>
    </row>
    <row r="91" spans="3:21" x14ac:dyDescent="0.2">
      <c r="J91"/>
      <c r="K91"/>
      <c r="L91"/>
      <c r="M91"/>
    </row>
    <row r="92" spans="3:21" x14ac:dyDescent="0.2">
      <c r="J92"/>
      <c r="K92"/>
      <c r="L92"/>
      <c r="M92"/>
    </row>
  </sheetData>
  <autoFilter ref="A1:IH81" xr:uid="{00000000-0001-0000-0E00-000000000000}"/>
  <phoneticPr fontId="195" type="noConversion"/>
  <pageMargins left="0.51181102362204722" right="0" top="3.937007874015748E-2" bottom="0" header="0.31496062992125984" footer="0.31496062992125984"/>
  <pageSetup paperSize="9" scale="46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>
      <selection activeCell="I20" sqref="I20"/>
    </sheetView>
  </sheetViews>
  <sheetFormatPr baseColWidth="10" defaultColWidth="8.83203125" defaultRowHeight="15" x14ac:dyDescent="0.2"/>
  <cols>
    <col min="3" max="3" width="64.5" bestFit="1" customWidth="1"/>
    <col min="4" max="4" width="15" customWidth="1"/>
    <col min="6" max="7" width="0" hidden="1" customWidth="1"/>
    <col min="12" max="12" width="18.5" bestFit="1" customWidth="1"/>
  </cols>
  <sheetData>
    <row r="1" spans="1:12" s="1" customFormat="1" ht="27" customHeight="1" x14ac:dyDescent="0.2">
      <c r="A1" s="291" t="s">
        <v>107</v>
      </c>
      <c r="B1" s="314" t="s">
        <v>395</v>
      </c>
      <c r="C1" s="315" t="s">
        <v>359</v>
      </c>
      <c r="D1" s="291" t="s">
        <v>362</v>
      </c>
      <c r="E1" s="291" t="s">
        <v>363</v>
      </c>
      <c r="F1" s="756" t="s">
        <v>419</v>
      </c>
      <c r="G1" s="756"/>
      <c r="H1" s="291" t="s">
        <v>4</v>
      </c>
      <c r="I1" s="291" t="s">
        <v>5</v>
      </c>
      <c r="J1" s="291" t="s">
        <v>728</v>
      </c>
      <c r="K1" s="291" t="s">
        <v>14</v>
      </c>
      <c r="L1" s="291" t="s">
        <v>15</v>
      </c>
    </row>
    <row r="2" spans="1:12" x14ac:dyDescent="0.2">
      <c r="A2" s="289">
        <v>1</v>
      </c>
      <c r="B2" s="311" t="s">
        <v>402</v>
      </c>
      <c r="C2" s="491" t="s">
        <v>696</v>
      </c>
      <c r="D2" s="409" t="s">
        <v>695</v>
      </c>
      <c r="E2" s="481">
        <v>7</v>
      </c>
      <c r="F2" s="409">
        <v>71.3</v>
      </c>
      <c r="G2" s="409">
        <v>93</v>
      </c>
      <c r="H2" s="289">
        <v>6</v>
      </c>
      <c r="I2" s="289">
        <v>8</v>
      </c>
      <c r="J2" s="289">
        <v>7</v>
      </c>
      <c r="K2" s="289" t="s">
        <v>725</v>
      </c>
      <c r="L2" s="364" t="s">
        <v>665</v>
      </c>
    </row>
    <row r="3" spans="1:12" x14ac:dyDescent="0.2">
      <c r="A3" s="289">
        <v>2</v>
      </c>
      <c r="B3" s="311" t="s">
        <v>402</v>
      </c>
      <c r="C3" s="492" t="s">
        <v>590</v>
      </c>
      <c r="D3" s="409" t="s">
        <v>609</v>
      </c>
      <c r="E3" s="481">
        <v>13</v>
      </c>
      <c r="F3" s="409">
        <v>71.3</v>
      </c>
      <c r="G3" s="409">
        <v>93</v>
      </c>
      <c r="H3" s="289">
        <v>6</v>
      </c>
      <c r="I3" s="289">
        <v>8</v>
      </c>
      <c r="J3" s="289">
        <v>13</v>
      </c>
      <c r="K3" s="289"/>
      <c r="L3" s="493" t="s">
        <v>91</v>
      </c>
    </row>
    <row r="4" spans="1:12" x14ac:dyDescent="0.2">
      <c r="A4" s="289">
        <v>3</v>
      </c>
      <c r="B4" s="311" t="s">
        <v>402</v>
      </c>
      <c r="C4" s="492" t="s">
        <v>593</v>
      </c>
      <c r="D4" s="409" t="s">
        <v>612</v>
      </c>
      <c r="E4" s="481">
        <v>5</v>
      </c>
      <c r="F4" s="409">
        <v>71.3</v>
      </c>
      <c r="G4" s="409">
        <v>93</v>
      </c>
      <c r="H4" s="289">
        <v>6</v>
      </c>
      <c r="I4" s="289">
        <v>8</v>
      </c>
      <c r="J4" s="289">
        <v>5</v>
      </c>
      <c r="K4" s="289"/>
      <c r="L4" s="493" t="s">
        <v>91</v>
      </c>
    </row>
    <row r="5" spans="1:12" x14ac:dyDescent="0.2">
      <c r="A5" s="289">
        <v>4</v>
      </c>
      <c r="B5" s="480" t="s">
        <v>402</v>
      </c>
      <c r="C5" s="494" t="s">
        <v>599</v>
      </c>
      <c r="D5" s="479" t="s">
        <v>618</v>
      </c>
      <c r="E5" s="479">
        <v>10</v>
      </c>
      <c r="F5" s="409">
        <v>71.3</v>
      </c>
      <c r="G5" s="409">
        <v>93</v>
      </c>
      <c r="H5" s="479">
        <v>6</v>
      </c>
      <c r="I5" s="479">
        <v>8</v>
      </c>
      <c r="J5" s="479">
        <v>10</v>
      </c>
      <c r="K5" s="495"/>
      <c r="L5" s="364" t="s">
        <v>91</v>
      </c>
    </row>
    <row r="6" spans="1:12" x14ac:dyDescent="0.2">
      <c r="A6" s="289">
        <v>5</v>
      </c>
      <c r="B6" s="480" t="s">
        <v>402</v>
      </c>
      <c r="C6" s="494" t="s">
        <v>600</v>
      </c>
      <c r="D6" s="409" t="s">
        <v>619</v>
      </c>
      <c r="E6" s="481">
        <v>7</v>
      </c>
      <c r="F6" s="409">
        <v>71.3</v>
      </c>
      <c r="G6" s="409">
        <v>93</v>
      </c>
      <c r="H6" s="289">
        <v>6</v>
      </c>
      <c r="I6" s="289">
        <v>8</v>
      </c>
      <c r="J6" s="289">
        <v>7</v>
      </c>
      <c r="K6" s="289"/>
      <c r="L6" s="289" t="s">
        <v>91</v>
      </c>
    </row>
    <row r="7" spans="1:12" x14ac:dyDescent="0.2">
      <c r="A7" s="289">
        <v>6</v>
      </c>
      <c r="B7" s="311" t="s">
        <v>402</v>
      </c>
      <c r="C7" s="496" t="s">
        <v>603</v>
      </c>
      <c r="D7" s="409" t="s">
        <v>622</v>
      </c>
      <c r="E7" s="481">
        <v>7</v>
      </c>
      <c r="F7" s="409">
        <v>71.3</v>
      </c>
      <c r="G7" s="409">
        <v>93</v>
      </c>
      <c r="H7" s="289">
        <v>6</v>
      </c>
      <c r="I7" s="289">
        <v>8</v>
      </c>
      <c r="J7" s="289">
        <v>3</v>
      </c>
      <c r="K7" s="289" t="s">
        <v>724</v>
      </c>
      <c r="L7" s="497" t="s">
        <v>727</v>
      </c>
    </row>
    <row r="8" spans="1:12" x14ac:dyDescent="0.2">
      <c r="A8" s="289">
        <v>7</v>
      </c>
      <c r="B8" s="311" t="s">
        <v>402</v>
      </c>
      <c r="C8" s="492" t="s">
        <v>604</v>
      </c>
      <c r="D8" s="409" t="s">
        <v>623</v>
      </c>
      <c r="E8" s="481">
        <v>12</v>
      </c>
      <c r="F8" s="409">
        <v>71.3</v>
      </c>
      <c r="G8" s="409">
        <v>93</v>
      </c>
      <c r="H8" s="289">
        <v>6</v>
      </c>
      <c r="I8" s="289">
        <v>8</v>
      </c>
      <c r="J8" s="289">
        <v>12</v>
      </c>
      <c r="K8" s="289"/>
      <c r="L8" s="289" t="s">
        <v>91</v>
      </c>
    </row>
    <row r="9" spans="1:12" x14ac:dyDescent="0.2">
      <c r="A9" s="289">
        <v>8</v>
      </c>
      <c r="B9" s="480" t="s">
        <v>402</v>
      </c>
      <c r="C9" s="494" t="s">
        <v>656</v>
      </c>
      <c r="D9" s="479" t="s">
        <v>624</v>
      </c>
      <c r="E9" s="479">
        <v>11</v>
      </c>
      <c r="F9" s="409">
        <v>71.3</v>
      </c>
      <c r="G9" s="409">
        <v>93</v>
      </c>
      <c r="H9" s="479">
        <v>6</v>
      </c>
      <c r="I9" s="479">
        <v>8</v>
      </c>
      <c r="J9" s="479">
        <v>11</v>
      </c>
      <c r="K9" s="289"/>
      <c r="L9" s="289" t="s">
        <v>91</v>
      </c>
    </row>
    <row r="10" spans="1:12" x14ac:dyDescent="0.2">
      <c r="A10" s="289">
        <v>9</v>
      </c>
      <c r="B10" s="311" t="s">
        <v>402</v>
      </c>
      <c r="C10" s="496" t="s">
        <v>666</v>
      </c>
      <c r="D10" s="493" t="s">
        <v>726</v>
      </c>
      <c r="E10" s="289">
        <v>6</v>
      </c>
      <c r="F10" s="289">
        <v>57</v>
      </c>
      <c r="G10" s="289">
        <v>93</v>
      </c>
      <c r="H10" s="289">
        <v>5</v>
      </c>
      <c r="I10" s="289">
        <v>8</v>
      </c>
      <c r="J10" s="289">
        <v>3</v>
      </c>
      <c r="K10" s="289" t="s">
        <v>714</v>
      </c>
      <c r="L10" s="497" t="s">
        <v>730</v>
      </c>
    </row>
    <row r="11" spans="1:12" x14ac:dyDescent="0.2">
      <c r="A11" s="289">
        <v>10</v>
      </c>
      <c r="B11" s="311" t="s">
        <v>402</v>
      </c>
      <c r="C11" s="496" t="s">
        <v>667</v>
      </c>
      <c r="D11" s="289" t="s">
        <v>378</v>
      </c>
      <c r="E11" s="289">
        <v>21</v>
      </c>
      <c r="F11" s="289">
        <v>57</v>
      </c>
      <c r="G11" s="289">
        <v>93</v>
      </c>
      <c r="H11" s="289">
        <v>5</v>
      </c>
      <c r="I11" s="289">
        <v>8</v>
      </c>
      <c r="J11" s="289">
        <v>6</v>
      </c>
      <c r="K11" s="289"/>
      <c r="L11" s="289" t="s">
        <v>91</v>
      </c>
    </row>
    <row r="12" spans="1:12" x14ac:dyDescent="0.2">
      <c r="A12" s="289">
        <v>11</v>
      </c>
      <c r="B12" s="311" t="s">
        <v>402</v>
      </c>
      <c r="C12" s="496" t="s">
        <v>668</v>
      </c>
      <c r="D12" s="289" t="s">
        <v>380</v>
      </c>
      <c r="E12" s="289">
        <v>11</v>
      </c>
      <c r="F12" s="289">
        <v>57</v>
      </c>
      <c r="G12" s="289">
        <v>93</v>
      </c>
      <c r="H12" s="289">
        <v>5</v>
      </c>
      <c r="I12" s="289">
        <v>8</v>
      </c>
      <c r="J12" s="289">
        <v>11</v>
      </c>
      <c r="K12" s="289"/>
      <c r="L12" s="289" t="s">
        <v>91</v>
      </c>
    </row>
    <row r="13" spans="1:12" x14ac:dyDescent="0.2">
      <c r="A13" s="289">
        <v>12</v>
      </c>
      <c r="B13" s="311" t="s">
        <v>402</v>
      </c>
      <c r="C13" s="496" t="s">
        <v>669</v>
      </c>
      <c r="D13" s="289" t="s">
        <v>381</v>
      </c>
      <c r="E13" s="289">
        <v>10</v>
      </c>
      <c r="F13" s="289">
        <v>57</v>
      </c>
      <c r="G13" s="289">
        <v>93</v>
      </c>
      <c r="H13" s="289">
        <v>5</v>
      </c>
      <c r="I13" s="289">
        <v>8</v>
      </c>
      <c r="J13" s="289">
        <v>5</v>
      </c>
      <c r="K13" s="289" t="s">
        <v>715</v>
      </c>
      <c r="L13" s="497" t="s">
        <v>729</v>
      </c>
    </row>
  </sheetData>
  <mergeCells count="1">
    <mergeCell ref="F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/>
  <dimension ref="A1:J54"/>
  <sheetViews>
    <sheetView topLeftCell="A37" workbookViewId="0">
      <selection activeCell="J27" sqref="J27"/>
    </sheetView>
  </sheetViews>
  <sheetFormatPr baseColWidth="10" defaultColWidth="8.83203125" defaultRowHeight="15" x14ac:dyDescent="0.2"/>
  <cols>
    <col min="1" max="1" width="5.33203125" customWidth="1"/>
    <col min="2" max="2" width="8.1640625" hidden="1" customWidth="1"/>
    <col min="3" max="3" width="52.5" style="1" customWidth="1"/>
    <col min="4" max="4" width="12.33203125" customWidth="1"/>
    <col min="5" max="5" width="7" customWidth="1"/>
    <col min="6" max="6" width="4.5" customWidth="1"/>
    <col min="7" max="7" width="4.1640625" customWidth="1"/>
    <col min="8" max="8" width="16.83203125" hidden="1" customWidth="1"/>
    <col min="9" max="9" width="16.83203125" bestFit="1" customWidth="1"/>
    <col min="10" max="10" width="44.83203125" customWidth="1"/>
  </cols>
  <sheetData>
    <row r="1" spans="1:10" s="1" customFormat="1" ht="26.25" customHeight="1" x14ac:dyDescent="0.2">
      <c r="A1" s="291" t="s">
        <v>107</v>
      </c>
      <c r="B1" s="314" t="s">
        <v>395</v>
      </c>
      <c r="C1" s="315" t="s">
        <v>359</v>
      </c>
      <c r="D1" s="291" t="s">
        <v>362</v>
      </c>
      <c r="E1" s="291" t="s">
        <v>363</v>
      </c>
      <c r="F1" s="291" t="s">
        <v>4</v>
      </c>
      <c r="G1" s="291" t="s">
        <v>5</v>
      </c>
      <c r="H1" s="291" t="s">
        <v>15</v>
      </c>
      <c r="I1" s="291" t="s">
        <v>16</v>
      </c>
      <c r="J1" s="291" t="s">
        <v>438</v>
      </c>
    </row>
    <row r="2" spans="1:10" ht="27" customHeight="1" x14ac:dyDescent="0.2">
      <c r="A2" s="289">
        <v>1</v>
      </c>
      <c r="B2" s="478" t="s">
        <v>402</v>
      </c>
      <c r="C2" s="429" t="s">
        <v>702</v>
      </c>
      <c r="D2" s="409" t="s">
        <v>703</v>
      </c>
      <c r="E2" s="481">
        <v>7</v>
      </c>
      <c r="F2" s="289">
        <v>6</v>
      </c>
      <c r="G2" s="289">
        <v>8</v>
      </c>
      <c r="H2" s="486" t="s">
        <v>91</v>
      </c>
      <c r="I2" s="486" t="s">
        <v>91</v>
      </c>
      <c r="J2" s="43"/>
    </row>
    <row r="3" spans="1:10" ht="27" customHeight="1" x14ac:dyDescent="0.2">
      <c r="A3" s="289">
        <v>2</v>
      </c>
      <c r="B3" s="311" t="s">
        <v>402</v>
      </c>
      <c r="C3" s="429" t="s">
        <v>588</v>
      </c>
      <c r="D3" s="409" t="s">
        <v>607</v>
      </c>
      <c r="E3" s="481">
        <v>9</v>
      </c>
      <c r="F3" s="289">
        <v>6</v>
      </c>
      <c r="G3" s="289">
        <v>8</v>
      </c>
      <c r="H3" s="364" t="s">
        <v>558</v>
      </c>
      <c r="I3" s="486" t="s">
        <v>91</v>
      </c>
      <c r="J3" s="43"/>
    </row>
    <row r="4" spans="1:10" ht="27" customHeight="1" x14ac:dyDescent="0.2">
      <c r="A4" s="289">
        <v>3</v>
      </c>
      <c r="B4" s="311" t="s">
        <v>402</v>
      </c>
      <c r="C4" s="429" t="s">
        <v>696</v>
      </c>
      <c r="D4" s="409" t="s">
        <v>695</v>
      </c>
      <c r="E4" s="481">
        <v>7</v>
      </c>
      <c r="F4" s="289">
        <v>6</v>
      </c>
      <c r="G4" s="289">
        <v>8</v>
      </c>
      <c r="H4" s="486" t="s">
        <v>42</v>
      </c>
      <c r="I4" s="409" t="s">
        <v>723</v>
      </c>
      <c r="J4" s="43"/>
    </row>
    <row r="5" spans="1:10" ht="27" customHeight="1" x14ac:dyDescent="0.2">
      <c r="A5" s="289">
        <v>4</v>
      </c>
      <c r="B5" s="311" t="s">
        <v>402</v>
      </c>
      <c r="C5" s="429" t="s">
        <v>697</v>
      </c>
      <c r="D5" s="409" t="s">
        <v>698</v>
      </c>
      <c r="E5" s="481">
        <v>7</v>
      </c>
      <c r="F5" s="289">
        <v>6</v>
      </c>
      <c r="G5" s="289">
        <v>8</v>
      </c>
      <c r="H5" s="486" t="s">
        <v>91</v>
      </c>
      <c r="I5" s="486" t="s">
        <v>91</v>
      </c>
      <c r="J5" s="43"/>
    </row>
    <row r="6" spans="1:10" ht="27" customHeight="1" x14ac:dyDescent="0.2">
      <c r="A6" s="289">
        <v>5</v>
      </c>
      <c r="B6" s="311" t="s">
        <v>402</v>
      </c>
      <c r="C6" s="429" t="s">
        <v>590</v>
      </c>
      <c r="D6" s="409" t="s">
        <v>609</v>
      </c>
      <c r="E6" s="481">
        <v>13</v>
      </c>
      <c r="F6" s="289">
        <v>6</v>
      </c>
      <c r="G6" s="289">
        <v>8</v>
      </c>
      <c r="H6" s="486" t="s">
        <v>91</v>
      </c>
      <c r="I6" s="486" t="s">
        <v>91</v>
      </c>
      <c r="J6" s="43"/>
    </row>
    <row r="7" spans="1:10" ht="27" customHeight="1" x14ac:dyDescent="0.2">
      <c r="A7" s="289">
        <v>6</v>
      </c>
      <c r="B7" s="311" t="s">
        <v>402</v>
      </c>
      <c r="C7" s="429" t="s">
        <v>591</v>
      </c>
      <c r="D7" s="409" t="s">
        <v>610</v>
      </c>
      <c r="E7" s="481">
        <v>14</v>
      </c>
      <c r="F7" s="289">
        <v>6</v>
      </c>
      <c r="G7" s="289">
        <v>8</v>
      </c>
      <c r="H7" s="364" t="s">
        <v>699</v>
      </c>
      <c r="I7" s="364" t="s">
        <v>699</v>
      </c>
      <c r="J7" s="43"/>
    </row>
    <row r="8" spans="1:10" ht="27" customHeight="1" x14ac:dyDescent="0.2">
      <c r="A8" s="289">
        <v>7</v>
      </c>
      <c r="B8" s="311" t="s">
        <v>402</v>
      </c>
      <c r="C8" s="429" t="s">
        <v>592</v>
      </c>
      <c r="D8" s="409" t="s">
        <v>611</v>
      </c>
      <c r="E8" s="481">
        <v>9</v>
      </c>
      <c r="F8" s="289">
        <v>6</v>
      </c>
      <c r="G8" s="289">
        <v>8</v>
      </c>
      <c r="H8" s="364" t="s">
        <v>699</v>
      </c>
      <c r="I8" s="364" t="s">
        <v>699</v>
      </c>
      <c r="J8" s="43"/>
    </row>
    <row r="9" spans="1:10" ht="27" customHeight="1" x14ac:dyDescent="0.2">
      <c r="A9" s="289">
        <v>8</v>
      </c>
      <c r="B9" s="311" t="s">
        <v>402</v>
      </c>
      <c r="C9" s="429" t="s">
        <v>593</v>
      </c>
      <c r="D9" s="409" t="s">
        <v>612</v>
      </c>
      <c r="E9" s="481">
        <v>5</v>
      </c>
      <c r="F9" s="289">
        <v>6</v>
      </c>
      <c r="G9" s="289">
        <v>8</v>
      </c>
      <c r="H9" s="486" t="s">
        <v>91</v>
      </c>
      <c r="I9" s="486" t="s">
        <v>91</v>
      </c>
      <c r="J9" s="43"/>
    </row>
    <row r="10" spans="1:10" ht="27" customHeight="1" x14ac:dyDescent="0.2">
      <c r="A10" s="289">
        <v>9</v>
      </c>
      <c r="B10" s="311" t="s">
        <v>402</v>
      </c>
      <c r="C10" s="429" t="s">
        <v>594</v>
      </c>
      <c r="D10" s="409" t="s">
        <v>613</v>
      </c>
      <c r="E10" s="481">
        <v>7</v>
      </c>
      <c r="F10" s="289">
        <v>6</v>
      </c>
      <c r="G10" s="289">
        <v>8</v>
      </c>
      <c r="H10" s="487" t="s">
        <v>701</v>
      </c>
      <c r="I10" s="487" t="s">
        <v>663</v>
      </c>
      <c r="J10" s="43"/>
    </row>
    <row r="11" spans="1:10" ht="27" customHeight="1" x14ac:dyDescent="0.2">
      <c r="A11" s="289">
        <v>10</v>
      </c>
      <c r="B11" s="311" t="s">
        <v>402</v>
      </c>
      <c r="C11" s="429" t="s">
        <v>595</v>
      </c>
      <c r="D11" s="409" t="s">
        <v>614</v>
      </c>
      <c r="E11" s="481">
        <v>5</v>
      </c>
      <c r="F11" s="289">
        <v>6</v>
      </c>
      <c r="G11" s="289">
        <v>8</v>
      </c>
      <c r="H11" s="487" t="s">
        <v>701</v>
      </c>
      <c r="I11" s="487" t="s">
        <v>663</v>
      </c>
      <c r="J11" s="43"/>
    </row>
    <row r="12" spans="1:10" ht="27" customHeight="1" x14ac:dyDescent="0.2">
      <c r="A12" s="289">
        <v>11</v>
      </c>
      <c r="B12" s="311" t="s">
        <v>402</v>
      </c>
      <c r="C12" s="429" t="s">
        <v>596</v>
      </c>
      <c r="D12" s="409" t="s">
        <v>615</v>
      </c>
      <c r="E12" s="481">
        <v>9</v>
      </c>
      <c r="F12" s="289">
        <v>6</v>
      </c>
      <c r="G12" s="289">
        <v>8</v>
      </c>
      <c r="H12" s="487" t="s">
        <v>701</v>
      </c>
      <c r="I12" s="487" t="s">
        <v>663</v>
      </c>
      <c r="J12" s="43"/>
    </row>
    <row r="13" spans="1:10" ht="27" customHeight="1" x14ac:dyDescent="0.2">
      <c r="A13" s="289">
        <v>12</v>
      </c>
      <c r="B13" s="480" t="s">
        <v>402</v>
      </c>
      <c r="C13" s="475" t="s">
        <v>597</v>
      </c>
      <c r="D13" s="479" t="s">
        <v>616</v>
      </c>
      <c r="E13" s="479">
        <v>7</v>
      </c>
      <c r="F13" s="479">
        <v>6</v>
      </c>
      <c r="G13" s="479">
        <v>8</v>
      </c>
      <c r="H13" s="487" t="s">
        <v>718</v>
      </c>
      <c r="I13" s="487" t="s">
        <v>719</v>
      </c>
      <c r="J13" s="43"/>
    </row>
    <row r="14" spans="1:10" ht="27" customHeight="1" x14ac:dyDescent="0.2">
      <c r="A14" s="289">
        <v>13</v>
      </c>
      <c r="B14" s="311" t="s">
        <v>402</v>
      </c>
      <c r="C14" s="429" t="s">
        <v>598</v>
      </c>
      <c r="D14" s="409" t="s">
        <v>617</v>
      </c>
      <c r="E14" s="481">
        <v>5</v>
      </c>
      <c r="F14" s="289">
        <v>6</v>
      </c>
      <c r="G14" s="289">
        <v>8</v>
      </c>
      <c r="H14" s="486" t="s">
        <v>42</v>
      </c>
      <c r="I14" s="488" t="s">
        <v>655</v>
      </c>
      <c r="J14" s="43"/>
    </row>
    <row r="15" spans="1:10" ht="27" customHeight="1" x14ac:dyDescent="0.2">
      <c r="A15" s="289">
        <v>14</v>
      </c>
      <c r="B15" s="480" t="s">
        <v>402</v>
      </c>
      <c r="C15" s="475" t="s">
        <v>599</v>
      </c>
      <c r="D15" s="479" t="s">
        <v>618</v>
      </c>
      <c r="E15" s="479">
        <v>10</v>
      </c>
      <c r="F15" s="479">
        <v>6</v>
      </c>
      <c r="G15" s="479">
        <v>8</v>
      </c>
      <c r="H15" s="486" t="s">
        <v>91</v>
      </c>
      <c r="I15" s="489" t="s">
        <v>91</v>
      </c>
      <c r="J15" s="43"/>
    </row>
    <row r="16" spans="1:10" ht="27" customHeight="1" x14ac:dyDescent="0.2">
      <c r="A16" s="289">
        <v>15</v>
      </c>
      <c r="B16" s="311" t="s">
        <v>402</v>
      </c>
      <c r="C16" s="429" t="s">
        <v>600</v>
      </c>
      <c r="D16" s="409" t="s">
        <v>619</v>
      </c>
      <c r="E16" s="481">
        <v>7</v>
      </c>
      <c r="F16" s="289">
        <v>6</v>
      </c>
      <c r="G16" s="289">
        <v>8</v>
      </c>
      <c r="H16" s="486" t="s">
        <v>42</v>
      </c>
      <c r="I16" s="488" t="s">
        <v>723</v>
      </c>
      <c r="J16" s="43"/>
    </row>
    <row r="17" spans="1:10" ht="27" customHeight="1" x14ac:dyDescent="0.2">
      <c r="A17" s="289">
        <v>16</v>
      </c>
      <c r="B17" s="311" t="s">
        <v>402</v>
      </c>
      <c r="C17" s="429" t="s">
        <v>601</v>
      </c>
      <c r="D17" s="409" t="s">
        <v>620</v>
      </c>
      <c r="E17" s="481">
        <v>12</v>
      </c>
      <c r="F17" s="289">
        <v>6</v>
      </c>
      <c r="G17" s="289">
        <v>8</v>
      </c>
      <c r="H17" s="364" t="s">
        <v>558</v>
      </c>
      <c r="I17" s="488" t="s">
        <v>558</v>
      </c>
      <c r="J17" s="43"/>
    </row>
    <row r="18" spans="1:10" ht="27" customHeight="1" x14ac:dyDescent="0.2">
      <c r="A18" s="289">
        <v>17</v>
      </c>
      <c r="B18" s="311" t="s">
        <v>402</v>
      </c>
      <c r="C18" s="429" t="s">
        <v>603</v>
      </c>
      <c r="D18" s="409" t="s">
        <v>622</v>
      </c>
      <c r="E18" s="481">
        <v>7</v>
      </c>
      <c r="F18" s="289">
        <v>6</v>
      </c>
      <c r="G18" s="289">
        <v>8</v>
      </c>
      <c r="H18" s="486" t="s">
        <v>42</v>
      </c>
      <c r="I18" s="488" t="s">
        <v>558</v>
      </c>
      <c r="J18" s="43"/>
    </row>
    <row r="19" spans="1:10" ht="27" customHeight="1" x14ac:dyDescent="0.2">
      <c r="A19" s="289">
        <v>18</v>
      </c>
      <c r="B19" s="311" t="s">
        <v>402</v>
      </c>
      <c r="C19" s="429" t="s">
        <v>604</v>
      </c>
      <c r="D19" s="409" t="s">
        <v>623</v>
      </c>
      <c r="E19" s="481">
        <v>12</v>
      </c>
      <c r="F19" s="289">
        <v>6</v>
      </c>
      <c r="G19" s="289">
        <v>8</v>
      </c>
      <c r="H19" s="486" t="s">
        <v>91</v>
      </c>
      <c r="I19" s="486" t="s">
        <v>91</v>
      </c>
      <c r="J19" s="43"/>
    </row>
    <row r="20" spans="1:10" ht="27" customHeight="1" x14ac:dyDescent="0.2">
      <c r="A20" s="289">
        <v>19</v>
      </c>
      <c r="B20" s="480" t="s">
        <v>402</v>
      </c>
      <c r="C20" s="475" t="s">
        <v>656</v>
      </c>
      <c r="D20" s="479" t="s">
        <v>624</v>
      </c>
      <c r="E20" s="479">
        <v>11</v>
      </c>
      <c r="F20" s="479">
        <v>6</v>
      </c>
      <c r="G20" s="479">
        <v>8</v>
      </c>
      <c r="H20" s="486" t="s">
        <v>91</v>
      </c>
      <c r="I20" s="487" t="s">
        <v>719</v>
      </c>
      <c r="J20" s="43"/>
    </row>
    <row r="21" spans="1:10" ht="27" customHeight="1" x14ac:dyDescent="0.2">
      <c r="A21" s="289"/>
      <c r="B21" s="480"/>
      <c r="C21" s="1" t="s">
        <v>47</v>
      </c>
      <c r="D21" s="479"/>
      <c r="E21" s="479">
        <f>SUM(E2:E20)</f>
        <v>163</v>
      </c>
      <c r="F21" s="479"/>
      <c r="G21" s="479"/>
      <c r="H21" s="486"/>
      <c r="I21" s="487"/>
      <c r="J21" s="43"/>
    </row>
    <row r="22" spans="1:10" ht="27" customHeight="1" x14ac:dyDescent="0.2">
      <c r="A22" s="289"/>
      <c r="B22" s="480"/>
      <c r="C22" s="475"/>
      <c r="D22" s="479"/>
      <c r="E22" s="479"/>
      <c r="F22" s="479"/>
      <c r="G22" s="479"/>
      <c r="H22" s="486"/>
      <c r="I22" s="487"/>
      <c r="J22" s="43"/>
    </row>
    <row r="23" spans="1:10" s="1" customFormat="1" ht="26.25" customHeight="1" x14ac:dyDescent="0.2">
      <c r="A23" s="291" t="s">
        <v>107</v>
      </c>
      <c r="B23" s="314" t="s">
        <v>395</v>
      </c>
      <c r="C23" s="315" t="s">
        <v>359</v>
      </c>
      <c r="D23" s="291" t="s">
        <v>362</v>
      </c>
      <c r="E23" s="291" t="s">
        <v>363</v>
      </c>
      <c r="F23" s="291" t="s">
        <v>4</v>
      </c>
      <c r="G23" s="291" t="s">
        <v>5</v>
      </c>
      <c r="H23" s="291" t="s">
        <v>15</v>
      </c>
      <c r="I23" s="291" t="s">
        <v>16</v>
      </c>
      <c r="J23" s="291" t="s">
        <v>438</v>
      </c>
    </row>
    <row r="24" spans="1:10" ht="33" customHeight="1" x14ac:dyDescent="0.2">
      <c r="A24" s="332">
        <v>20</v>
      </c>
      <c r="B24" s="323" t="s">
        <v>402</v>
      </c>
      <c r="C24" s="429" t="s">
        <v>606</v>
      </c>
      <c r="D24" s="441" t="s">
        <v>625</v>
      </c>
      <c r="E24" s="444">
        <v>7</v>
      </c>
      <c r="F24" s="332">
        <v>5</v>
      </c>
      <c r="G24" s="332">
        <v>8</v>
      </c>
    </row>
    <row r="25" spans="1:10" ht="33" customHeight="1" x14ac:dyDescent="0.2">
      <c r="A25" s="332">
        <v>21</v>
      </c>
      <c r="B25" s="323" t="s">
        <v>402</v>
      </c>
      <c r="C25" s="477" t="s">
        <v>666</v>
      </c>
      <c r="D25" s="332" t="s">
        <v>626</v>
      </c>
      <c r="E25" s="332">
        <v>7</v>
      </c>
      <c r="F25" s="332">
        <v>5</v>
      </c>
      <c r="G25" s="332">
        <v>8</v>
      </c>
    </row>
    <row r="26" spans="1:10" ht="33" customHeight="1" x14ac:dyDescent="0.2">
      <c r="A26" s="332">
        <v>22</v>
      </c>
      <c r="B26" s="323" t="s">
        <v>402</v>
      </c>
      <c r="C26" s="477" t="s">
        <v>667</v>
      </c>
      <c r="D26" s="332" t="s">
        <v>378</v>
      </c>
      <c r="E26" s="332">
        <v>21</v>
      </c>
      <c r="F26" s="332">
        <v>5</v>
      </c>
      <c r="G26" s="332">
        <v>8</v>
      </c>
    </row>
    <row r="27" spans="1:10" ht="33" customHeight="1" x14ac:dyDescent="0.2">
      <c r="A27" s="332">
        <v>23</v>
      </c>
      <c r="B27" s="323" t="s">
        <v>402</v>
      </c>
      <c r="C27" s="477" t="s">
        <v>668</v>
      </c>
      <c r="D27" s="332" t="s">
        <v>380</v>
      </c>
      <c r="E27" s="332">
        <v>11</v>
      </c>
      <c r="F27" s="332">
        <v>5</v>
      </c>
      <c r="G27" s="332">
        <v>8</v>
      </c>
    </row>
    <row r="28" spans="1:10" ht="33" customHeight="1" x14ac:dyDescent="0.2">
      <c r="A28" s="332">
        <v>24</v>
      </c>
      <c r="B28" s="323" t="s">
        <v>402</v>
      </c>
      <c r="C28" s="477" t="s">
        <v>669</v>
      </c>
      <c r="D28" s="332" t="s">
        <v>381</v>
      </c>
      <c r="E28" s="332">
        <v>10</v>
      </c>
      <c r="F28" s="332">
        <v>5</v>
      </c>
      <c r="G28" s="332">
        <v>8</v>
      </c>
    </row>
    <row r="29" spans="1:10" ht="33" customHeight="1" x14ac:dyDescent="0.2">
      <c r="A29" s="332">
        <v>25</v>
      </c>
      <c r="B29" s="323" t="s">
        <v>402</v>
      </c>
      <c r="C29" s="477" t="s">
        <v>670</v>
      </c>
      <c r="D29" s="332" t="s">
        <v>382</v>
      </c>
      <c r="E29" s="332">
        <v>15</v>
      </c>
      <c r="F29" s="332">
        <v>5</v>
      </c>
      <c r="G29" s="332">
        <v>8</v>
      </c>
    </row>
    <row r="30" spans="1:10" ht="33" customHeight="1" x14ac:dyDescent="0.2">
      <c r="A30" s="332">
        <v>26</v>
      </c>
      <c r="B30" s="323" t="s">
        <v>402</v>
      </c>
      <c r="C30" s="477" t="s">
        <v>671</v>
      </c>
      <c r="D30" s="332" t="s">
        <v>627</v>
      </c>
      <c r="E30" s="332">
        <v>9</v>
      </c>
      <c r="F30" s="332">
        <v>5</v>
      </c>
      <c r="G30" s="332">
        <v>8</v>
      </c>
    </row>
    <row r="31" spans="1:10" ht="16" x14ac:dyDescent="0.2">
      <c r="A31" s="332">
        <v>27</v>
      </c>
      <c r="B31" s="323" t="s">
        <v>402</v>
      </c>
      <c r="C31" s="477" t="s">
        <v>694</v>
      </c>
      <c r="D31" s="332" t="s">
        <v>628</v>
      </c>
      <c r="E31" s="332">
        <v>9</v>
      </c>
      <c r="F31" s="332">
        <v>5</v>
      </c>
      <c r="G31" s="332">
        <v>8</v>
      </c>
    </row>
    <row r="32" spans="1:10" ht="16" x14ac:dyDescent="0.2">
      <c r="A32" s="332">
        <v>28</v>
      </c>
      <c r="B32" s="323" t="s">
        <v>402</v>
      </c>
      <c r="C32" s="467" t="s">
        <v>672</v>
      </c>
      <c r="D32" s="332" t="s">
        <v>629</v>
      </c>
      <c r="E32" s="332">
        <v>5</v>
      </c>
      <c r="F32" s="332">
        <v>5</v>
      </c>
      <c r="G32" s="332">
        <v>8</v>
      </c>
    </row>
    <row r="33" spans="1:7" ht="16" x14ac:dyDescent="0.2">
      <c r="A33" s="332">
        <v>29</v>
      </c>
      <c r="B33" s="323" t="s">
        <v>402</v>
      </c>
      <c r="C33" s="467" t="s">
        <v>673</v>
      </c>
      <c r="D33" s="332" t="s">
        <v>630</v>
      </c>
      <c r="E33" s="332">
        <v>7</v>
      </c>
      <c r="F33" s="332">
        <v>5</v>
      </c>
      <c r="G33" s="332">
        <v>8</v>
      </c>
    </row>
    <row r="34" spans="1:7" ht="16" x14ac:dyDescent="0.2">
      <c r="A34" s="332">
        <v>30</v>
      </c>
      <c r="B34" s="323" t="s">
        <v>402</v>
      </c>
      <c r="C34" s="467" t="s">
        <v>674</v>
      </c>
      <c r="D34" s="332" t="s">
        <v>631</v>
      </c>
      <c r="E34" s="332">
        <v>6</v>
      </c>
      <c r="F34" s="332">
        <v>5</v>
      </c>
      <c r="G34" s="332">
        <v>8</v>
      </c>
    </row>
    <row r="35" spans="1:7" ht="16" x14ac:dyDescent="0.2">
      <c r="A35" s="332">
        <v>31</v>
      </c>
      <c r="B35" s="323" t="s">
        <v>402</v>
      </c>
      <c r="C35" s="467" t="s">
        <v>675</v>
      </c>
      <c r="D35" s="332" t="s">
        <v>632</v>
      </c>
      <c r="E35" s="332">
        <v>10</v>
      </c>
      <c r="F35" s="332">
        <v>5</v>
      </c>
      <c r="G35" s="332">
        <v>8</v>
      </c>
    </row>
    <row r="36" spans="1:7" ht="16" x14ac:dyDescent="0.2">
      <c r="A36" s="332">
        <v>32</v>
      </c>
      <c r="B36" s="323" t="s">
        <v>402</v>
      </c>
      <c r="C36" s="467" t="s">
        <v>676</v>
      </c>
      <c r="D36" s="332" t="s">
        <v>633</v>
      </c>
      <c r="E36" s="332">
        <v>5</v>
      </c>
      <c r="F36" s="332">
        <v>5</v>
      </c>
      <c r="G36" s="332">
        <v>8</v>
      </c>
    </row>
    <row r="37" spans="1:7" ht="16" x14ac:dyDescent="0.2">
      <c r="A37" s="332">
        <v>33</v>
      </c>
      <c r="B37" s="323" t="s">
        <v>402</v>
      </c>
      <c r="C37" s="467" t="s">
        <v>677</v>
      </c>
      <c r="D37" s="332" t="s">
        <v>634</v>
      </c>
      <c r="E37" s="332">
        <v>16</v>
      </c>
      <c r="F37" s="332">
        <v>5</v>
      </c>
      <c r="G37" s="332">
        <v>8</v>
      </c>
    </row>
    <row r="38" spans="1:7" ht="16" x14ac:dyDescent="0.2">
      <c r="A38" s="332">
        <v>34</v>
      </c>
      <c r="B38" s="323" t="s">
        <v>402</v>
      </c>
      <c r="C38" s="467" t="s">
        <v>693</v>
      </c>
      <c r="D38" s="332" t="s">
        <v>635</v>
      </c>
      <c r="E38" s="332">
        <v>6</v>
      </c>
      <c r="F38" s="332">
        <v>5</v>
      </c>
      <c r="G38" s="332">
        <v>8</v>
      </c>
    </row>
    <row r="39" spans="1:7" ht="16" x14ac:dyDescent="0.2">
      <c r="A39" s="332">
        <v>35</v>
      </c>
      <c r="B39" s="323" t="s">
        <v>402</v>
      </c>
      <c r="C39" s="467" t="s">
        <v>692</v>
      </c>
      <c r="D39" s="332" t="s">
        <v>636</v>
      </c>
      <c r="E39" s="332">
        <v>17</v>
      </c>
      <c r="F39" s="332">
        <v>5</v>
      </c>
      <c r="G39" s="332">
        <v>8</v>
      </c>
    </row>
    <row r="40" spans="1:7" ht="16" x14ac:dyDescent="0.2">
      <c r="A40" s="332">
        <v>36</v>
      </c>
      <c r="B40" s="323" t="s">
        <v>402</v>
      </c>
      <c r="C40" s="467" t="s">
        <v>691</v>
      </c>
      <c r="D40" s="332" t="s">
        <v>637</v>
      </c>
      <c r="E40" s="332">
        <v>14</v>
      </c>
      <c r="F40" s="332">
        <v>5</v>
      </c>
      <c r="G40" s="332">
        <v>8</v>
      </c>
    </row>
    <row r="41" spans="1:7" ht="16" x14ac:dyDescent="0.2">
      <c r="A41" s="332">
        <v>37</v>
      </c>
      <c r="B41" s="323" t="s">
        <v>402</v>
      </c>
      <c r="C41" s="467" t="s">
        <v>690</v>
      </c>
      <c r="D41" s="332" t="s">
        <v>638</v>
      </c>
      <c r="E41" s="332">
        <v>10</v>
      </c>
      <c r="F41" s="332">
        <v>5</v>
      </c>
      <c r="G41" s="332">
        <v>8</v>
      </c>
    </row>
    <row r="42" spans="1:7" ht="16" x14ac:dyDescent="0.2">
      <c r="A42" s="332">
        <v>38</v>
      </c>
      <c r="B42" s="323" t="s">
        <v>402</v>
      </c>
      <c r="C42" s="467" t="s">
        <v>689</v>
      </c>
      <c r="D42" s="332" t="s">
        <v>639</v>
      </c>
      <c r="E42" s="332">
        <v>6</v>
      </c>
      <c r="F42" s="332">
        <v>5</v>
      </c>
      <c r="G42" s="332">
        <v>8</v>
      </c>
    </row>
    <row r="43" spans="1:7" ht="16" x14ac:dyDescent="0.2">
      <c r="A43" s="332">
        <v>39</v>
      </c>
      <c r="B43" s="323" t="s">
        <v>402</v>
      </c>
      <c r="C43" s="467" t="s">
        <v>688</v>
      </c>
      <c r="D43" s="332" t="s">
        <v>640</v>
      </c>
      <c r="E43" s="332">
        <v>7</v>
      </c>
      <c r="F43" s="332">
        <v>5</v>
      </c>
      <c r="G43" s="332">
        <v>8</v>
      </c>
    </row>
    <row r="44" spans="1:7" ht="16" x14ac:dyDescent="0.2">
      <c r="A44" s="332">
        <v>40</v>
      </c>
      <c r="B44" s="323" t="s">
        <v>402</v>
      </c>
      <c r="C44" s="467" t="s">
        <v>687</v>
      </c>
      <c r="D44" s="332" t="s">
        <v>641</v>
      </c>
      <c r="E44" s="332">
        <v>8</v>
      </c>
      <c r="F44" s="332">
        <v>5</v>
      </c>
      <c r="G44" s="332">
        <v>8</v>
      </c>
    </row>
    <row r="45" spans="1:7" ht="16" x14ac:dyDescent="0.2">
      <c r="A45" s="332">
        <v>41</v>
      </c>
      <c r="B45" s="323" t="s">
        <v>402</v>
      </c>
      <c r="C45" s="467" t="s">
        <v>686</v>
      </c>
      <c r="D45" s="332" t="s">
        <v>642</v>
      </c>
      <c r="E45" s="332">
        <v>5</v>
      </c>
      <c r="F45" s="332">
        <v>5</v>
      </c>
      <c r="G45" s="332">
        <v>8</v>
      </c>
    </row>
    <row r="46" spans="1:7" ht="16" x14ac:dyDescent="0.2">
      <c r="A46" s="332">
        <v>42</v>
      </c>
      <c r="B46" s="323" t="s">
        <v>402</v>
      </c>
      <c r="C46" s="467" t="s">
        <v>685</v>
      </c>
      <c r="D46" s="332" t="s">
        <v>643</v>
      </c>
      <c r="E46" s="332">
        <v>9</v>
      </c>
      <c r="F46" s="332">
        <v>5</v>
      </c>
      <c r="G46" s="332">
        <v>8</v>
      </c>
    </row>
    <row r="47" spans="1:7" ht="16" x14ac:dyDescent="0.2">
      <c r="A47" s="332">
        <v>43</v>
      </c>
      <c r="B47" s="323" t="s">
        <v>402</v>
      </c>
      <c r="C47" s="467" t="s">
        <v>684</v>
      </c>
      <c r="D47" s="332" t="s">
        <v>644</v>
      </c>
      <c r="E47" s="332">
        <v>7</v>
      </c>
      <c r="F47" s="332">
        <v>5</v>
      </c>
      <c r="G47" s="332">
        <v>8</v>
      </c>
    </row>
    <row r="48" spans="1:7" ht="16" x14ac:dyDescent="0.2">
      <c r="A48" s="332">
        <v>44</v>
      </c>
      <c r="B48" s="323" t="s">
        <v>402</v>
      </c>
      <c r="C48" s="467" t="s">
        <v>683</v>
      </c>
      <c r="D48" s="332" t="s">
        <v>645</v>
      </c>
      <c r="E48" s="332">
        <v>7</v>
      </c>
      <c r="F48" s="332">
        <v>5</v>
      </c>
      <c r="G48" s="332">
        <v>8</v>
      </c>
    </row>
    <row r="49" spans="1:7" ht="16" x14ac:dyDescent="0.2">
      <c r="A49" s="332">
        <v>45</v>
      </c>
      <c r="B49" s="323" t="s">
        <v>402</v>
      </c>
      <c r="C49" s="467" t="s">
        <v>682</v>
      </c>
      <c r="D49" s="332" t="s">
        <v>646</v>
      </c>
      <c r="E49" s="332">
        <v>8</v>
      </c>
      <c r="F49" s="332">
        <v>5</v>
      </c>
      <c r="G49" s="332">
        <v>8</v>
      </c>
    </row>
    <row r="50" spans="1:7" ht="16" x14ac:dyDescent="0.2">
      <c r="A50" s="332">
        <v>46</v>
      </c>
      <c r="B50" s="323" t="s">
        <v>402</v>
      </c>
      <c r="C50" s="467" t="s">
        <v>681</v>
      </c>
      <c r="D50" s="332" t="s">
        <v>647</v>
      </c>
      <c r="E50" s="332">
        <v>11</v>
      </c>
      <c r="F50" s="332">
        <v>5</v>
      </c>
      <c r="G50" s="332">
        <v>8</v>
      </c>
    </row>
    <row r="51" spans="1:7" ht="16" x14ac:dyDescent="0.2">
      <c r="A51" s="332">
        <v>47</v>
      </c>
      <c r="B51" s="323" t="s">
        <v>402</v>
      </c>
      <c r="C51" s="467" t="s">
        <v>680</v>
      </c>
      <c r="D51" s="332" t="s">
        <v>648</v>
      </c>
      <c r="E51" s="332">
        <v>8</v>
      </c>
      <c r="F51" s="332">
        <v>5</v>
      </c>
      <c r="G51" s="332">
        <v>8</v>
      </c>
    </row>
    <row r="52" spans="1:7" ht="16" x14ac:dyDescent="0.2">
      <c r="A52" s="332">
        <v>48</v>
      </c>
      <c r="B52" s="323" t="s">
        <v>402</v>
      </c>
      <c r="C52" s="467" t="s">
        <v>679</v>
      </c>
      <c r="D52" s="332" t="s">
        <v>649</v>
      </c>
      <c r="E52" s="332">
        <v>7</v>
      </c>
      <c r="F52" s="332">
        <v>5</v>
      </c>
      <c r="G52" s="332">
        <v>8</v>
      </c>
    </row>
    <row r="53" spans="1:7" ht="16" x14ac:dyDescent="0.2">
      <c r="A53" s="332">
        <v>49</v>
      </c>
      <c r="B53" s="323" t="s">
        <v>402</v>
      </c>
      <c r="C53" s="467" t="s">
        <v>678</v>
      </c>
      <c r="D53" s="332" t="s">
        <v>650</v>
      </c>
      <c r="E53" s="332">
        <v>12</v>
      </c>
      <c r="F53" s="332">
        <v>5</v>
      </c>
      <c r="G53" s="332">
        <v>8</v>
      </c>
    </row>
    <row r="54" spans="1:7" ht="16" x14ac:dyDescent="0.2">
      <c r="C54" s="1" t="s">
        <v>47</v>
      </c>
      <c r="E54">
        <f>SUM(E24:E53)</f>
        <v>280</v>
      </c>
    </row>
  </sheetData>
  <pageMargins left="0.70866141732283472" right="0.70866141732283472" top="0.55118110236220474" bottom="0.55118110236220474" header="0.31496062992125984" footer="0.31496062992125984"/>
  <pageSetup paperSize="9" scale="90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/>
  <dimension ref="A1:J22"/>
  <sheetViews>
    <sheetView topLeftCell="A14" workbookViewId="0">
      <selection activeCell="C14" sqref="C14"/>
    </sheetView>
  </sheetViews>
  <sheetFormatPr baseColWidth="10" defaultColWidth="8.83203125" defaultRowHeight="15" x14ac:dyDescent="0.2"/>
  <cols>
    <col min="3" max="3" width="45.5" style="1" customWidth="1"/>
    <col min="4" max="4" width="8.5" style="459" customWidth="1"/>
    <col min="5" max="5" width="12.5" bestFit="1" customWidth="1"/>
    <col min="9" max="9" width="10.83203125" customWidth="1"/>
    <col min="10" max="10" width="10.33203125" customWidth="1"/>
  </cols>
  <sheetData>
    <row r="1" spans="1:10" s="1" customFormat="1" ht="32.25" customHeight="1" x14ac:dyDescent="0.2">
      <c r="A1" s="291" t="s">
        <v>107</v>
      </c>
      <c r="B1" s="314" t="s">
        <v>395</v>
      </c>
      <c r="C1" s="315" t="s">
        <v>359</v>
      </c>
      <c r="D1" s="291" t="s">
        <v>417</v>
      </c>
      <c r="E1" s="291" t="s">
        <v>362</v>
      </c>
      <c r="F1" s="291" t="s">
        <v>363</v>
      </c>
      <c r="G1" s="291" t="s">
        <v>4</v>
      </c>
      <c r="H1" s="291" t="s">
        <v>5</v>
      </c>
      <c r="I1" s="291" t="s">
        <v>15</v>
      </c>
      <c r="J1" s="291" t="s">
        <v>16</v>
      </c>
    </row>
    <row r="2" spans="1:10" ht="18" x14ac:dyDescent="0.2">
      <c r="A2" s="289">
        <v>1</v>
      </c>
      <c r="B2" s="478" t="s">
        <v>402</v>
      </c>
      <c r="C2" s="429" t="s">
        <v>702</v>
      </c>
      <c r="D2" s="409"/>
      <c r="E2" s="409" t="s">
        <v>703</v>
      </c>
      <c r="F2" s="481">
        <v>7</v>
      </c>
      <c r="G2" s="289">
        <v>6</v>
      </c>
      <c r="H2" s="289">
        <v>8</v>
      </c>
      <c r="I2" s="446" t="s">
        <v>161</v>
      </c>
      <c r="J2" s="466"/>
    </row>
    <row r="3" spans="1:10" ht="32" x14ac:dyDescent="0.2">
      <c r="A3" s="289">
        <v>2</v>
      </c>
      <c r="B3" s="311" t="s">
        <v>402</v>
      </c>
      <c r="C3" s="429" t="s">
        <v>588</v>
      </c>
      <c r="D3" s="409">
        <v>9</v>
      </c>
      <c r="E3" s="409" t="s">
        <v>607</v>
      </c>
      <c r="F3" s="481">
        <v>9</v>
      </c>
      <c r="G3" s="289">
        <v>6</v>
      </c>
      <c r="H3" s="289">
        <v>8</v>
      </c>
      <c r="I3" s="322" t="s">
        <v>558</v>
      </c>
      <c r="J3" s="466"/>
    </row>
    <row r="4" spans="1:10" ht="32" x14ac:dyDescent="0.2">
      <c r="A4" s="289">
        <v>3</v>
      </c>
      <c r="B4" s="311" t="s">
        <v>402</v>
      </c>
      <c r="C4" s="429" t="s">
        <v>696</v>
      </c>
      <c r="D4" s="409">
        <v>7</v>
      </c>
      <c r="E4" s="409" t="s">
        <v>695</v>
      </c>
      <c r="F4" s="481">
        <v>7</v>
      </c>
      <c r="G4" s="289">
        <v>6</v>
      </c>
      <c r="H4" s="289">
        <v>8</v>
      </c>
      <c r="I4" s="446" t="s">
        <v>42</v>
      </c>
      <c r="J4" s="467" t="s">
        <v>664</v>
      </c>
    </row>
    <row r="5" spans="1:10" ht="18" x14ac:dyDescent="0.2">
      <c r="A5" s="289">
        <v>4</v>
      </c>
      <c r="B5" s="311" t="s">
        <v>402</v>
      </c>
      <c r="C5" s="429" t="s">
        <v>697</v>
      </c>
      <c r="D5" s="409"/>
      <c r="E5" s="409" t="s">
        <v>698</v>
      </c>
      <c r="F5" s="481">
        <v>7</v>
      </c>
      <c r="G5" s="289">
        <v>6</v>
      </c>
      <c r="H5" s="289">
        <v>8</v>
      </c>
      <c r="I5" s="446" t="s">
        <v>161</v>
      </c>
      <c r="J5" s="466"/>
    </row>
    <row r="6" spans="1:10" ht="18" x14ac:dyDescent="0.2">
      <c r="A6" s="289">
        <v>5</v>
      </c>
      <c r="B6" s="311" t="s">
        <v>402</v>
      </c>
      <c r="C6" s="429" t="s">
        <v>590</v>
      </c>
      <c r="D6" s="409"/>
      <c r="E6" s="409" t="s">
        <v>609</v>
      </c>
      <c r="F6" s="481">
        <v>13</v>
      </c>
      <c r="G6" s="289">
        <v>6</v>
      </c>
      <c r="H6" s="289">
        <v>8</v>
      </c>
      <c r="I6" s="446" t="s">
        <v>161</v>
      </c>
      <c r="J6" s="446"/>
    </row>
    <row r="7" spans="1:10" ht="16" x14ac:dyDescent="0.2">
      <c r="A7" s="289">
        <v>6</v>
      </c>
      <c r="B7" s="311" t="s">
        <v>402</v>
      </c>
      <c r="C7" s="429" t="s">
        <v>591</v>
      </c>
      <c r="D7" s="409">
        <v>14</v>
      </c>
      <c r="E7" s="409" t="s">
        <v>610</v>
      </c>
      <c r="F7" s="481">
        <v>14</v>
      </c>
      <c r="G7" s="289">
        <v>6</v>
      </c>
      <c r="H7" s="289">
        <v>8</v>
      </c>
      <c r="I7" s="322" t="s">
        <v>699</v>
      </c>
      <c r="J7" s="322" t="s">
        <v>699</v>
      </c>
    </row>
    <row r="8" spans="1:10" ht="16" x14ac:dyDescent="0.2">
      <c r="A8" s="289">
        <v>7</v>
      </c>
      <c r="B8" s="311" t="s">
        <v>402</v>
      </c>
      <c r="C8" s="429" t="s">
        <v>592</v>
      </c>
      <c r="D8" s="409">
        <v>9</v>
      </c>
      <c r="E8" s="409" t="s">
        <v>611</v>
      </c>
      <c r="F8" s="481">
        <v>9</v>
      </c>
      <c r="G8" s="289">
        <v>6</v>
      </c>
      <c r="H8" s="289">
        <v>8</v>
      </c>
      <c r="I8" s="322" t="s">
        <v>699</v>
      </c>
      <c r="J8" s="322" t="s">
        <v>699</v>
      </c>
    </row>
    <row r="9" spans="1:10" ht="18" x14ac:dyDescent="0.2">
      <c r="A9" s="289">
        <v>8</v>
      </c>
      <c r="B9" s="311" t="s">
        <v>402</v>
      </c>
      <c r="C9" s="429" t="s">
        <v>593</v>
      </c>
      <c r="D9" s="409"/>
      <c r="E9" s="409" t="s">
        <v>612</v>
      </c>
      <c r="F9" s="481">
        <v>5</v>
      </c>
      <c r="G9" s="289">
        <v>6</v>
      </c>
      <c r="H9" s="289">
        <v>8</v>
      </c>
      <c r="I9" s="446" t="s">
        <v>161</v>
      </c>
      <c r="J9" s="446"/>
    </row>
    <row r="10" spans="1:10" ht="34" x14ac:dyDescent="0.2">
      <c r="A10" s="289">
        <v>9</v>
      </c>
      <c r="B10" s="311" t="s">
        <v>402</v>
      </c>
      <c r="C10" s="429" t="s">
        <v>594</v>
      </c>
      <c r="D10" s="409">
        <v>7</v>
      </c>
      <c r="E10" s="409" t="s">
        <v>613</v>
      </c>
      <c r="F10" s="481">
        <v>7</v>
      </c>
      <c r="G10" s="289">
        <v>6</v>
      </c>
      <c r="H10" s="289">
        <v>8</v>
      </c>
      <c r="I10" s="468" t="s">
        <v>701</v>
      </c>
      <c r="J10" s="468" t="s">
        <v>663</v>
      </c>
    </row>
    <row r="11" spans="1:10" ht="34" x14ac:dyDescent="0.2">
      <c r="A11" s="289">
        <v>10</v>
      </c>
      <c r="B11" s="311" t="s">
        <v>402</v>
      </c>
      <c r="C11" s="429" t="s">
        <v>595</v>
      </c>
      <c r="D11" s="409">
        <v>5</v>
      </c>
      <c r="E11" s="409" t="s">
        <v>614</v>
      </c>
      <c r="F11" s="481">
        <v>5</v>
      </c>
      <c r="G11" s="289">
        <v>6</v>
      </c>
      <c r="H11" s="289">
        <v>8</v>
      </c>
      <c r="I11" s="468" t="s">
        <v>701</v>
      </c>
      <c r="J11" s="468" t="s">
        <v>663</v>
      </c>
    </row>
    <row r="12" spans="1:10" ht="34" x14ac:dyDescent="0.2">
      <c r="A12" s="289">
        <v>11</v>
      </c>
      <c r="B12" s="311" t="s">
        <v>402</v>
      </c>
      <c r="C12" s="429" t="s">
        <v>596</v>
      </c>
      <c r="D12" s="409">
        <v>9</v>
      </c>
      <c r="E12" s="409" t="s">
        <v>615</v>
      </c>
      <c r="F12" s="481">
        <v>9</v>
      </c>
      <c r="G12" s="289">
        <v>6</v>
      </c>
      <c r="H12" s="289">
        <v>8</v>
      </c>
      <c r="I12" s="468" t="s">
        <v>701</v>
      </c>
      <c r="J12" s="468" t="s">
        <v>663</v>
      </c>
    </row>
    <row r="13" spans="1:10" ht="34" x14ac:dyDescent="0.2">
      <c r="A13" s="479">
        <v>12</v>
      </c>
      <c r="B13" s="480" t="s">
        <v>402</v>
      </c>
      <c r="C13" s="475" t="s">
        <v>597</v>
      </c>
      <c r="D13" s="479">
        <v>7</v>
      </c>
      <c r="E13" s="479" t="s">
        <v>616</v>
      </c>
      <c r="F13" s="479">
        <v>7</v>
      </c>
      <c r="G13" s="479">
        <v>6</v>
      </c>
      <c r="H13" s="479">
        <v>8</v>
      </c>
      <c r="I13" s="468" t="s">
        <v>718</v>
      </c>
      <c r="J13" s="468" t="s">
        <v>719</v>
      </c>
    </row>
    <row r="14" spans="1:10" ht="32" x14ac:dyDescent="0.2">
      <c r="A14" s="289">
        <v>13</v>
      </c>
      <c r="B14" s="311" t="s">
        <v>402</v>
      </c>
      <c r="C14" s="429" t="s">
        <v>598</v>
      </c>
      <c r="D14" s="409">
        <v>5</v>
      </c>
      <c r="E14" s="409" t="s">
        <v>617</v>
      </c>
      <c r="F14" s="481">
        <v>5</v>
      </c>
      <c r="G14" s="289">
        <v>6</v>
      </c>
      <c r="H14" s="289">
        <v>8</v>
      </c>
      <c r="I14" s="446" t="s">
        <v>42</v>
      </c>
      <c r="J14" s="467" t="s">
        <v>655</v>
      </c>
    </row>
    <row r="15" spans="1:10" ht="18" x14ac:dyDescent="0.2">
      <c r="A15" s="479">
        <v>14</v>
      </c>
      <c r="B15" s="480" t="s">
        <v>402</v>
      </c>
      <c r="C15" s="475" t="s">
        <v>599</v>
      </c>
      <c r="D15" s="479"/>
      <c r="E15" s="479" t="s">
        <v>618</v>
      </c>
      <c r="F15" s="479">
        <v>10</v>
      </c>
      <c r="G15" s="479">
        <v>6</v>
      </c>
      <c r="H15" s="479">
        <v>8</v>
      </c>
      <c r="I15" s="474" t="s">
        <v>161</v>
      </c>
      <c r="J15" s="474"/>
    </row>
    <row r="16" spans="1:10" ht="32" x14ac:dyDescent="0.2">
      <c r="A16" s="289">
        <v>15</v>
      </c>
      <c r="B16" s="311" t="s">
        <v>402</v>
      </c>
      <c r="C16" s="429" t="s">
        <v>600</v>
      </c>
      <c r="D16" s="409">
        <v>7</v>
      </c>
      <c r="E16" s="409" t="s">
        <v>619</v>
      </c>
      <c r="F16" s="481">
        <v>7</v>
      </c>
      <c r="G16" s="289">
        <v>6</v>
      </c>
      <c r="H16" s="289">
        <v>8</v>
      </c>
      <c r="I16" s="446" t="s">
        <v>42</v>
      </c>
      <c r="J16" s="467" t="s">
        <v>664</v>
      </c>
    </row>
    <row r="17" spans="1:10" ht="32" x14ac:dyDescent="0.2">
      <c r="A17" s="289">
        <v>16</v>
      </c>
      <c r="B17" s="311" t="s">
        <v>402</v>
      </c>
      <c r="C17" s="429" t="s">
        <v>601</v>
      </c>
      <c r="D17" s="409">
        <v>12</v>
      </c>
      <c r="E17" s="409" t="s">
        <v>620</v>
      </c>
      <c r="F17" s="481">
        <v>12</v>
      </c>
      <c r="G17" s="289">
        <v>6</v>
      </c>
      <c r="H17" s="289">
        <v>8</v>
      </c>
      <c r="I17" s="322" t="s">
        <v>558</v>
      </c>
      <c r="J17" s="466" t="s">
        <v>654</v>
      </c>
    </row>
    <row r="18" spans="1:10" ht="32" x14ac:dyDescent="0.2">
      <c r="A18" s="289">
        <v>17</v>
      </c>
      <c r="B18" s="311" t="s">
        <v>402</v>
      </c>
      <c r="C18" s="429" t="s">
        <v>603</v>
      </c>
      <c r="D18" s="409">
        <v>4</v>
      </c>
      <c r="E18" s="409" t="s">
        <v>622</v>
      </c>
      <c r="F18" s="481">
        <v>7</v>
      </c>
      <c r="G18" s="289">
        <v>6</v>
      </c>
      <c r="H18" s="289">
        <v>8</v>
      </c>
      <c r="I18" s="446" t="s">
        <v>42</v>
      </c>
      <c r="J18" s="467" t="s">
        <v>558</v>
      </c>
    </row>
    <row r="19" spans="1:10" ht="18" x14ac:dyDescent="0.2">
      <c r="A19" s="289">
        <v>18</v>
      </c>
      <c r="B19" s="311" t="s">
        <v>402</v>
      </c>
      <c r="C19" s="429" t="s">
        <v>604</v>
      </c>
      <c r="D19" s="409"/>
      <c r="E19" s="409" t="s">
        <v>623</v>
      </c>
      <c r="F19" s="481">
        <v>12</v>
      </c>
      <c r="G19" s="289">
        <v>6</v>
      </c>
      <c r="H19" s="289">
        <v>8</v>
      </c>
      <c r="I19" s="446" t="s">
        <v>161</v>
      </c>
      <c r="J19" s="446"/>
    </row>
    <row r="20" spans="1:10" ht="18" x14ac:dyDescent="0.2">
      <c r="A20" s="479">
        <v>19</v>
      </c>
      <c r="B20" s="480" t="s">
        <v>402</v>
      </c>
      <c r="C20" s="475" t="s">
        <v>656</v>
      </c>
      <c r="D20" s="479">
        <v>5</v>
      </c>
      <c r="E20" s="479" t="s">
        <v>624</v>
      </c>
      <c r="F20" s="479">
        <v>11</v>
      </c>
      <c r="G20" s="479">
        <v>6</v>
      </c>
      <c r="H20" s="479">
        <v>8</v>
      </c>
      <c r="I20" s="474" t="s">
        <v>161</v>
      </c>
      <c r="J20" s="474"/>
    </row>
    <row r="21" spans="1:10" ht="32" x14ac:dyDescent="0.2">
      <c r="A21" s="289">
        <v>20</v>
      </c>
      <c r="B21" s="311" t="s">
        <v>402</v>
      </c>
      <c r="C21" s="429" t="s">
        <v>606</v>
      </c>
      <c r="D21" s="409"/>
      <c r="E21" s="409" t="s">
        <v>625</v>
      </c>
      <c r="F21" s="481">
        <v>7</v>
      </c>
      <c r="G21" s="289">
        <v>5</v>
      </c>
      <c r="H21" s="289">
        <v>8</v>
      </c>
      <c r="I21" s="446" t="s">
        <v>42</v>
      </c>
      <c r="J21" s="467" t="s">
        <v>664</v>
      </c>
    </row>
    <row r="22" spans="1:10" ht="16" x14ac:dyDescent="0.2">
      <c r="A22" s="482"/>
      <c r="B22" s="482"/>
      <c r="C22" s="483" t="s">
        <v>717</v>
      </c>
      <c r="D22" s="484">
        <f>SUM(D2:D21)</f>
        <v>100</v>
      </c>
      <c r="E22" s="482"/>
      <c r="F22" s="482">
        <f>SUM(F2:F21)</f>
        <v>170</v>
      </c>
      <c r="G22" s="482"/>
      <c r="H22" s="482"/>
      <c r="I22" s="482"/>
      <c r="J22" s="482"/>
    </row>
  </sheetData>
  <pageMargins left="0.70866141732283472" right="0.70866141732283472" top="0.35433070866141736" bottom="0.35433070866141736" header="0.31496062992125984" footer="0.31496062992125984"/>
  <pageSetup paperSize="9" scale="9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"/>
  <dimension ref="A1:M118"/>
  <sheetViews>
    <sheetView topLeftCell="A19" workbookViewId="0">
      <selection activeCell="P35" sqref="P35"/>
    </sheetView>
  </sheetViews>
  <sheetFormatPr baseColWidth="10" defaultColWidth="9.1640625" defaultRowHeight="15" x14ac:dyDescent="0.2"/>
  <cols>
    <col min="1" max="2" width="9.1640625" style="1"/>
    <col min="3" max="3" width="17.5" style="1" customWidth="1"/>
    <col min="4" max="7" width="9.1640625" style="1"/>
    <col min="8" max="8" width="12.83203125" style="1" customWidth="1"/>
    <col min="9" max="9" width="10.5" style="1" customWidth="1"/>
    <col min="10" max="16384" width="9.1640625" style="1"/>
  </cols>
  <sheetData>
    <row r="1" spans="1:13" ht="17" x14ac:dyDescent="0.2">
      <c r="A1" s="764" t="s">
        <v>116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1:13" ht="36" x14ac:dyDescent="0.2">
      <c r="A2" s="765" t="s">
        <v>0</v>
      </c>
      <c r="B2" s="765" t="s">
        <v>117</v>
      </c>
      <c r="C2" s="765" t="s">
        <v>95</v>
      </c>
      <c r="D2" s="765"/>
      <c r="E2" s="765"/>
      <c r="F2" s="765" t="s">
        <v>47</v>
      </c>
      <c r="G2" s="765" t="s">
        <v>118</v>
      </c>
      <c r="H2" s="765" t="s">
        <v>91</v>
      </c>
      <c r="I2" s="765" t="s">
        <v>119</v>
      </c>
      <c r="J2" s="765" t="s">
        <v>55</v>
      </c>
      <c r="K2" s="765"/>
      <c r="L2" s="779"/>
      <c r="M2" s="138" t="s">
        <v>120</v>
      </c>
    </row>
    <row r="3" spans="1:13" ht="18" x14ac:dyDescent="0.2">
      <c r="A3" s="765"/>
      <c r="B3" s="765"/>
      <c r="C3" s="765"/>
      <c r="D3" s="134" t="s">
        <v>121</v>
      </c>
      <c r="E3" s="134" t="s">
        <v>122</v>
      </c>
      <c r="F3" s="765"/>
      <c r="G3" s="765"/>
      <c r="H3" s="765"/>
      <c r="I3" s="765"/>
      <c r="J3" s="134" t="s">
        <v>13</v>
      </c>
      <c r="K3" s="139" t="s">
        <v>59</v>
      </c>
      <c r="L3" s="779"/>
      <c r="M3" s="138"/>
    </row>
    <row r="4" spans="1:13" ht="17" x14ac:dyDescent="0.2">
      <c r="A4" s="766">
        <v>1</v>
      </c>
      <c r="B4" s="766" t="s">
        <v>123</v>
      </c>
      <c r="C4" s="770" t="s">
        <v>124</v>
      </c>
      <c r="D4" s="766">
        <v>3</v>
      </c>
      <c r="E4" s="766">
        <v>4</v>
      </c>
      <c r="F4" s="766">
        <v>5</v>
      </c>
      <c r="G4" s="135">
        <v>5</v>
      </c>
      <c r="H4" s="766"/>
      <c r="I4" s="135"/>
      <c r="J4" s="135"/>
      <c r="K4" s="140"/>
      <c r="L4" s="133"/>
      <c r="M4" s="133"/>
    </row>
    <row r="5" spans="1:13" ht="17" x14ac:dyDescent="0.2">
      <c r="A5" s="767"/>
      <c r="B5" s="767"/>
      <c r="C5" s="771"/>
      <c r="D5" s="767"/>
      <c r="E5" s="767"/>
      <c r="F5" s="767"/>
      <c r="G5" s="135"/>
      <c r="H5" s="767"/>
      <c r="I5" s="141"/>
      <c r="J5" s="141"/>
      <c r="K5" s="142"/>
      <c r="L5" s="133"/>
      <c r="M5" s="133"/>
    </row>
    <row r="6" spans="1:13" ht="17" x14ac:dyDescent="0.2">
      <c r="A6" s="768"/>
      <c r="B6" s="768"/>
      <c r="C6" s="772"/>
      <c r="D6" s="768"/>
      <c r="E6" s="768"/>
      <c r="F6" s="768"/>
      <c r="G6" s="136">
        <v>0</v>
      </c>
      <c r="H6" s="768"/>
      <c r="I6" s="136"/>
      <c r="J6" s="136"/>
      <c r="K6" s="143"/>
      <c r="L6" s="144"/>
      <c r="M6" s="144"/>
    </row>
    <row r="7" spans="1:13" ht="17" x14ac:dyDescent="0.2">
      <c r="A7" s="769">
        <v>2</v>
      </c>
      <c r="B7" s="769" t="s">
        <v>123</v>
      </c>
      <c r="C7" s="773" t="s">
        <v>125</v>
      </c>
      <c r="D7" s="769">
        <v>3</v>
      </c>
      <c r="E7" s="769">
        <v>4</v>
      </c>
      <c r="F7" s="769">
        <v>30</v>
      </c>
      <c r="G7" s="136">
        <v>0</v>
      </c>
      <c r="H7" s="769"/>
      <c r="I7" s="136"/>
      <c r="J7" s="136"/>
      <c r="K7" s="145"/>
      <c r="L7" s="137"/>
      <c r="M7" s="144"/>
    </row>
    <row r="8" spans="1:13" ht="17" x14ac:dyDescent="0.2">
      <c r="A8" s="769"/>
      <c r="B8" s="769"/>
      <c r="C8" s="773"/>
      <c r="D8" s="769"/>
      <c r="E8" s="769"/>
      <c r="F8" s="769"/>
      <c r="G8" s="136"/>
      <c r="H8" s="769"/>
      <c r="I8" s="136"/>
      <c r="J8" s="141"/>
      <c r="K8" s="142"/>
      <c r="L8" s="137"/>
      <c r="M8" s="133"/>
    </row>
    <row r="9" spans="1:13" ht="17" x14ac:dyDescent="0.2">
      <c r="A9" s="769"/>
      <c r="B9" s="769"/>
      <c r="C9" s="773"/>
      <c r="D9" s="769"/>
      <c r="E9" s="769"/>
      <c r="F9" s="769"/>
      <c r="G9" s="136">
        <v>0</v>
      </c>
      <c r="H9" s="769"/>
      <c r="I9" s="136"/>
      <c r="J9" s="136"/>
      <c r="K9" s="145"/>
      <c r="L9" s="137"/>
      <c r="M9" s="137"/>
    </row>
    <row r="10" spans="1:13" ht="17" x14ac:dyDescent="0.2">
      <c r="A10" s="769">
        <v>3</v>
      </c>
      <c r="B10" s="769" t="s">
        <v>123</v>
      </c>
      <c r="C10" s="773" t="s">
        <v>126</v>
      </c>
      <c r="D10" s="769">
        <v>3</v>
      </c>
      <c r="E10" s="769">
        <v>4</v>
      </c>
      <c r="F10" s="769">
        <v>7</v>
      </c>
      <c r="G10" s="136">
        <v>0</v>
      </c>
      <c r="H10" s="769"/>
      <c r="I10" s="136"/>
      <c r="J10" s="136"/>
      <c r="K10" s="145"/>
      <c r="L10" s="137"/>
      <c r="M10" s="144"/>
    </row>
    <row r="11" spans="1:13" ht="17" x14ac:dyDescent="0.2">
      <c r="A11" s="769"/>
      <c r="B11" s="769"/>
      <c r="C11" s="773"/>
      <c r="D11" s="769"/>
      <c r="E11" s="769"/>
      <c r="F11" s="769"/>
      <c r="G11" s="136">
        <v>0</v>
      </c>
      <c r="H11" s="769"/>
      <c r="I11" s="136"/>
      <c r="J11" s="136"/>
      <c r="K11" s="145"/>
      <c r="L11" s="137"/>
      <c r="M11" s="137"/>
    </row>
    <row r="12" spans="1:13" ht="17" x14ac:dyDescent="0.2">
      <c r="A12" s="769"/>
      <c r="B12" s="769"/>
      <c r="C12" s="773"/>
      <c r="D12" s="769"/>
      <c r="E12" s="769"/>
      <c r="F12" s="769"/>
      <c r="G12" s="136">
        <v>0</v>
      </c>
      <c r="H12" s="769"/>
      <c r="I12" s="136"/>
      <c r="J12" s="136"/>
      <c r="K12" s="145"/>
      <c r="L12" s="137"/>
      <c r="M12" s="137"/>
    </row>
    <row r="13" spans="1:13" ht="17" x14ac:dyDescent="0.2">
      <c r="A13" s="769">
        <v>4</v>
      </c>
      <c r="B13" s="769" t="s">
        <v>123</v>
      </c>
      <c r="C13" s="773" t="s">
        <v>127</v>
      </c>
      <c r="D13" s="769">
        <v>3</v>
      </c>
      <c r="E13" s="769">
        <v>4</v>
      </c>
      <c r="F13" s="769">
        <v>21</v>
      </c>
      <c r="G13" s="136">
        <v>0</v>
      </c>
      <c r="H13" s="769"/>
      <c r="I13" s="136"/>
      <c r="J13" s="136"/>
      <c r="K13" s="146"/>
      <c r="L13" s="137"/>
      <c r="M13" s="144"/>
    </row>
    <row r="14" spans="1:13" ht="17" x14ac:dyDescent="0.2">
      <c r="A14" s="769"/>
      <c r="B14" s="769"/>
      <c r="C14" s="773"/>
      <c r="D14" s="769"/>
      <c r="E14" s="769"/>
      <c r="F14" s="769"/>
      <c r="G14" s="136">
        <v>0</v>
      </c>
      <c r="H14" s="769"/>
      <c r="I14" s="136"/>
      <c r="J14" s="136"/>
      <c r="K14" s="145"/>
      <c r="L14" s="137"/>
      <c r="M14" s="137"/>
    </row>
    <row r="15" spans="1:13" ht="17" x14ac:dyDescent="0.2">
      <c r="A15" s="769"/>
      <c r="B15" s="769"/>
      <c r="C15" s="773"/>
      <c r="D15" s="769"/>
      <c r="E15" s="769"/>
      <c r="F15" s="769"/>
      <c r="G15" s="136">
        <v>0</v>
      </c>
      <c r="H15" s="769"/>
      <c r="I15" s="136"/>
      <c r="J15" s="136"/>
      <c r="K15" s="143"/>
      <c r="L15" s="137"/>
      <c r="M15" s="137"/>
    </row>
    <row r="16" spans="1:13" ht="17" x14ac:dyDescent="0.2">
      <c r="A16" s="769">
        <v>5</v>
      </c>
      <c r="B16" s="769" t="s">
        <v>123</v>
      </c>
      <c r="C16" s="773" t="s">
        <v>128</v>
      </c>
      <c r="D16" s="769">
        <v>3</v>
      </c>
      <c r="E16" s="769">
        <v>4</v>
      </c>
      <c r="F16" s="769">
        <v>5</v>
      </c>
      <c r="G16" s="136">
        <v>0</v>
      </c>
      <c r="H16" s="769"/>
      <c r="I16" s="136"/>
      <c r="J16" s="135"/>
      <c r="K16" s="140"/>
      <c r="L16" s="137"/>
      <c r="M16" s="133"/>
    </row>
    <row r="17" spans="1:13" ht="17" x14ac:dyDescent="0.2">
      <c r="A17" s="769"/>
      <c r="B17" s="769"/>
      <c r="C17" s="773"/>
      <c r="D17" s="769"/>
      <c r="E17" s="769"/>
      <c r="F17" s="769"/>
      <c r="G17" s="136">
        <v>0</v>
      </c>
      <c r="H17" s="769"/>
      <c r="I17" s="136"/>
      <c r="J17" s="136"/>
      <c r="K17" s="146"/>
      <c r="L17" s="137"/>
      <c r="M17" s="147"/>
    </row>
    <row r="18" spans="1:13" ht="17" x14ac:dyDescent="0.2">
      <c r="A18" s="769"/>
      <c r="B18" s="769"/>
      <c r="C18" s="773"/>
      <c r="D18" s="769"/>
      <c r="E18" s="769"/>
      <c r="F18" s="769"/>
      <c r="G18" s="136">
        <v>0</v>
      </c>
      <c r="H18" s="769"/>
      <c r="I18" s="136"/>
      <c r="J18" s="136"/>
      <c r="K18" s="143"/>
      <c r="L18" s="137"/>
      <c r="M18" s="137"/>
    </row>
    <row r="19" spans="1:13" ht="17" x14ac:dyDescent="0.2">
      <c r="A19" s="769">
        <v>6</v>
      </c>
      <c r="B19" s="769" t="s">
        <v>123</v>
      </c>
      <c r="C19" s="773" t="s">
        <v>129</v>
      </c>
      <c r="D19" s="769">
        <v>3</v>
      </c>
      <c r="E19" s="769">
        <v>4</v>
      </c>
      <c r="F19" s="769">
        <v>32</v>
      </c>
      <c r="G19" s="136">
        <v>10</v>
      </c>
      <c r="H19" s="769"/>
      <c r="I19" s="135"/>
      <c r="J19" s="135"/>
      <c r="K19" s="140"/>
      <c r="L19" s="144"/>
      <c r="M19" s="133"/>
    </row>
    <row r="20" spans="1:13" ht="17" x14ac:dyDescent="0.2">
      <c r="A20" s="769"/>
      <c r="B20" s="769"/>
      <c r="C20" s="773"/>
      <c r="D20" s="769"/>
      <c r="E20" s="769"/>
      <c r="F20" s="769"/>
      <c r="G20" s="136">
        <v>5</v>
      </c>
      <c r="H20" s="769"/>
      <c r="I20" s="141"/>
      <c r="J20" s="141"/>
      <c r="K20" s="142"/>
      <c r="L20" s="144"/>
      <c r="M20" s="137"/>
    </row>
    <row r="21" spans="1:13" ht="17" x14ac:dyDescent="0.2">
      <c r="A21" s="769"/>
      <c r="B21" s="769"/>
      <c r="C21" s="773"/>
      <c r="D21" s="769"/>
      <c r="E21" s="769"/>
      <c r="F21" s="769"/>
      <c r="G21" s="136"/>
      <c r="H21" s="769"/>
      <c r="I21" s="141"/>
      <c r="J21" s="141"/>
      <c r="K21" s="142"/>
      <c r="L21" s="144"/>
      <c r="M21" s="133"/>
    </row>
    <row r="22" spans="1:13" ht="17" x14ac:dyDescent="0.2">
      <c r="A22" s="769"/>
      <c r="B22" s="769"/>
      <c r="C22" s="773"/>
      <c r="D22" s="769"/>
      <c r="E22" s="769"/>
      <c r="F22" s="769"/>
      <c r="G22" s="136"/>
      <c r="H22" s="769"/>
      <c r="I22" s="141"/>
      <c r="J22" s="148"/>
      <c r="K22" s="149"/>
      <c r="L22" s="144"/>
      <c r="M22" s="144"/>
    </row>
    <row r="23" spans="1:13" ht="17" x14ac:dyDescent="0.2">
      <c r="A23" s="769"/>
      <c r="B23" s="769"/>
      <c r="C23" s="773"/>
      <c r="D23" s="769"/>
      <c r="E23" s="769"/>
      <c r="F23" s="769"/>
      <c r="G23" s="136">
        <v>0</v>
      </c>
      <c r="H23" s="769"/>
      <c r="I23" s="150"/>
      <c r="J23" s="150"/>
      <c r="K23" s="149"/>
      <c r="L23" s="137"/>
      <c r="M23" s="137"/>
    </row>
    <row r="24" spans="1:13" ht="17" x14ac:dyDescent="0.2">
      <c r="A24" s="769">
        <v>7</v>
      </c>
      <c r="B24" s="769" t="s">
        <v>130</v>
      </c>
      <c r="C24" s="773" t="s">
        <v>131</v>
      </c>
      <c r="D24" s="769">
        <v>3</v>
      </c>
      <c r="E24" s="769">
        <v>4</v>
      </c>
      <c r="F24" s="769">
        <v>29</v>
      </c>
      <c r="G24" s="136"/>
      <c r="H24" s="769"/>
      <c r="I24" s="151"/>
      <c r="J24" s="152"/>
      <c r="K24" s="152"/>
      <c r="L24" s="137"/>
      <c r="M24" s="137"/>
    </row>
    <row r="25" spans="1:13" ht="17" x14ac:dyDescent="0.2">
      <c r="A25" s="769"/>
      <c r="B25" s="769"/>
      <c r="C25" s="773"/>
      <c r="D25" s="769"/>
      <c r="E25" s="769"/>
      <c r="F25" s="769"/>
      <c r="G25" s="136"/>
      <c r="H25" s="769"/>
      <c r="I25" s="136"/>
      <c r="J25" s="141"/>
      <c r="K25" s="142"/>
      <c r="L25" s="137"/>
      <c r="M25" s="133"/>
    </row>
    <row r="26" spans="1:13" ht="17" x14ac:dyDescent="0.2">
      <c r="A26" s="769"/>
      <c r="B26" s="769"/>
      <c r="C26" s="773"/>
      <c r="D26" s="769"/>
      <c r="E26" s="769"/>
      <c r="F26" s="769"/>
      <c r="G26" s="136">
        <v>0</v>
      </c>
      <c r="H26" s="769"/>
      <c r="I26" s="136"/>
      <c r="J26" s="136"/>
      <c r="K26" s="143"/>
      <c r="L26" s="137"/>
      <c r="M26" s="137"/>
    </row>
    <row r="27" spans="1:13" ht="17" x14ac:dyDescent="0.2">
      <c r="A27" s="769">
        <v>8</v>
      </c>
      <c r="B27" s="769" t="s">
        <v>132</v>
      </c>
      <c r="C27" s="773" t="s">
        <v>133</v>
      </c>
      <c r="D27" s="769">
        <v>3</v>
      </c>
      <c r="E27" s="769">
        <v>4</v>
      </c>
      <c r="F27" s="769">
        <v>15</v>
      </c>
      <c r="G27" s="136"/>
      <c r="H27" s="769"/>
      <c r="I27" s="136"/>
      <c r="J27" s="136"/>
      <c r="K27" s="143"/>
      <c r="L27" s="137"/>
      <c r="M27" s="137"/>
    </row>
    <row r="28" spans="1:13" ht="17" x14ac:dyDescent="0.2">
      <c r="A28" s="769"/>
      <c r="B28" s="769"/>
      <c r="C28" s="773"/>
      <c r="D28" s="769"/>
      <c r="E28" s="769"/>
      <c r="F28" s="769"/>
      <c r="G28" s="136"/>
      <c r="H28" s="769"/>
      <c r="I28" s="136"/>
      <c r="J28" s="141"/>
      <c r="K28" s="142"/>
      <c r="L28" s="137"/>
      <c r="M28" s="133"/>
    </row>
    <row r="29" spans="1:13" ht="17" x14ac:dyDescent="0.2">
      <c r="A29" s="769"/>
      <c r="B29" s="769"/>
      <c r="C29" s="773"/>
      <c r="D29" s="769"/>
      <c r="E29" s="769"/>
      <c r="F29" s="769"/>
      <c r="G29" s="136">
        <v>0</v>
      </c>
      <c r="H29" s="769"/>
      <c r="I29" s="136"/>
      <c r="J29" s="136"/>
      <c r="K29" s="143"/>
      <c r="L29" s="137"/>
      <c r="M29" s="137"/>
    </row>
    <row r="30" spans="1:13" ht="17" x14ac:dyDescent="0.2">
      <c r="A30" s="769">
        <v>9</v>
      </c>
      <c r="B30" s="769" t="s">
        <v>130</v>
      </c>
      <c r="C30" s="773" t="s">
        <v>134</v>
      </c>
      <c r="D30" s="769">
        <v>3</v>
      </c>
      <c r="E30" s="769">
        <v>4</v>
      </c>
      <c r="F30" s="769">
        <v>15</v>
      </c>
      <c r="G30" s="136">
        <v>10</v>
      </c>
      <c r="H30" s="769"/>
      <c r="I30" s="141"/>
      <c r="J30" s="150"/>
      <c r="K30" s="149"/>
      <c r="L30" s="137"/>
      <c r="M30" s="137"/>
    </row>
    <row r="31" spans="1:13" ht="17" x14ac:dyDescent="0.2">
      <c r="A31" s="769"/>
      <c r="B31" s="769"/>
      <c r="C31" s="773"/>
      <c r="D31" s="769"/>
      <c r="E31" s="769"/>
      <c r="F31" s="769"/>
      <c r="G31" s="136"/>
      <c r="H31" s="769"/>
      <c r="I31" s="141"/>
      <c r="J31" s="136"/>
      <c r="K31" s="143"/>
      <c r="L31" s="137"/>
      <c r="M31" s="137"/>
    </row>
    <row r="32" spans="1:13" ht="17" x14ac:dyDescent="0.2">
      <c r="A32" s="769"/>
      <c r="B32" s="769"/>
      <c r="C32" s="773"/>
      <c r="D32" s="769"/>
      <c r="E32" s="769"/>
      <c r="F32" s="769"/>
      <c r="G32" s="136">
        <v>0</v>
      </c>
      <c r="H32" s="769"/>
      <c r="I32" s="136"/>
      <c r="J32" s="136"/>
      <c r="K32" s="143"/>
      <c r="L32" s="137"/>
      <c r="M32" s="137"/>
    </row>
    <row r="33" spans="1:13" ht="17" x14ac:dyDescent="0.2">
      <c r="A33" s="769">
        <v>10</v>
      </c>
      <c r="B33" s="769" t="s">
        <v>123</v>
      </c>
      <c r="C33" s="773" t="s">
        <v>135</v>
      </c>
      <c r="D33" s="769">
        <v>3</v>
      </c>
      <c r="E33" s="769">
        <v>4</v>
      </c>
      <c r="F33" s="769">
        <v>21</v>
      </c>
      <c r="G33" s="136">
        <v>10</v>
      </c>
      <c r="H33" s="769"/>
      <c r="I33" s="150"/>
      <c r="J33" s="150"/>
      <c r="K33" s="149"/>
      <c r="L33" s="137"/>
      <c r="M33" s="137"/>
    </row>
    <row r="34" spans="1:13" ht="17" x14ac:dyDescent="0.2">
      <c r="A34" s="769"/>
      <c r="B34" s="769"/>
      <c r="C34" s="773"/>
      <c r="D34" s="769"/>
      <c r="E34" s="769"/>
      <c r="F34" s="769"/>
      <c r="G34" s="136">
        <v>0</v>
      </c>
      <c r="H34" s="769"/>
      <c r="I34" s="153"/>
      <c r="J34" s="136"/>
      <c r="K34" s="146"/>
      <c r="L34" s="137"/>
      <c r="M34" s="137"/>
    </row>
    <row r="35" spans="1:13" ht="17" x14ac:dyDescent="0.2">
      <c r="A35" s="769"/>
      <c r="B35" s="769"/>
      <c r="C35" s="773"/>
      <c r="D35" s="769"/>
      <c r="E35" s="769"/>
      <c r="F35" s="769"/>
      <c r="G35" s="136">
        <v>0</v>
      </c>
      <c r="H35" s="769"/>
      <c r="I35" s="136"/>
      <c r="J35" s="136"/>
      <c r="K35" s="143"/>
      <c r="L35" s="144"/>
      <c r="M35" s="144"/>
    </row>
    <row r="36" spans="1:13" ht="17" x14ac:dyDescent="0.2">
      <c r="A36" s="769">
        <v>11</v>
      </c>
      <c r="B36" s="769" t="s">
        <v>132</v>
      </c>
      <c r="C36" s="773" t="s">
        <v>136</v>
      </c>
      <c r="D36" s="769">
        <v>3</v>
      </c>
      <c r="E36" s="769">
        <v>4</v>
      </c>
      <c r="F36" s="769">
        <v>24</v>
      </c>
      <c r="G36" s="136"/>
      <c r="H36" s="769"/>
      <c r="I36" s="141"/>
      <c r="J36" s="150"/>
      <c r="K36" s="149"/>
      <c r="L36" s="144"/>
      <c r="M36" s="137"/>
    </row>
    <row r="37" spans="1:13" ht="17" x14ac:dyDescent="0.2">
      <c r="A37" s="769"/>
      <c r="B37" s="769"/>
      <c r="C37" s="773"/>
      <c r="D37" s="769"/>
      <c r="E37" s="769"/>
      <c r="F37" s="769"/>
      <c r="G37" s="136"/>
      <c r="H37" s="769"/>
      <c r="I37" s="141"/>
      <c r="J37" s="152"/>
      <c r="K37" s="152"/>
      <c r="L37" s="144"/>
      <c r="M37" s="144"/>
    </row>
    <row r="38" spans="1:13" ht="17" x14ac:dyDescent="0.2">
      <c r="A38" s="769"/>
      <c r="B38" s="769"/>
      <c r="C38" s="773"/>
      <c r="D38" s="769"/>
      <c r="E38" s="769"/>
      <c r="F38" s="769"/>
      <c r="G38" s="136"/>
      <c r="H38" s="769"/>
      <c r="I38" s="136"/>
      <c r="J38" s="136"/>
      <c r="K38" s="143"/>
      <c r="L38" s="137"/>
      <c r="M38" s="137"/>
    </row>
    <row r="39" spans="1:13" ht="17" x14ac:dyDescent="0.2">
      <c r="A39" s="769">
        <v>12</v>
      </c>
      <c r="B39" s="769" t="s">
        <v>130</v>
      </c>
      <c r="C39" s="773" t="s">
        <v>137</v>
      </c>
      <c r="D39" s="769">
        <v>3</v>
      </c>
      <c r="E39" s="769">
        <v>4</v>
      </c>
      <c r="F39" s="769">
        <v>22</v>
      </c>
      <c r="G39" s="136"/>
      <c r="H39" s="769"/>
      <c r="I39" s="141"/>
      <c r="J39" s="150"/>
      <c r="K39" s="149"/>
      <c r="L39" s="144"/>
      <c r="M39" s="137"/>
    </row>
    <row r="40" spans="1:13" ht="17" x14ac:dyDescent="0.2">
      <c r="A40" s="769"/>
      <c r="B40" s="769"/>
      <c r="C40" s="773"/>
      <c r="D40" s="769"/>
      <c r="E40" s="769"/>
      <c r="F40" s="769"/>
      <c r="G40" s="136"/>
      <c r="H40" s="769"/>
      <c r="I40" s="136"/>
      <c r="J40" s="152"/>
      <c r="K40" s="152"/>
      <c r="L40" s="137"/>
      <c r="M40" s="137"/>
    </row>
    <row r="41" spans="1:13" ht="17" x14ac:dyDescent="0.2">
      <c r="A41" s="769"/>
      <c r="B41" s="769"/>
      <c r="C41" s="773"/>
      <c r="D41" s="769"/>
      <c r="E41" s="769"/>
      <c r="F41" s="769"/>
      <c r="G41" s="136">
        <v>0</v>
      </c>
      <c r="H41" s="769"/>
      <c r="I41" s="136"/>
      <c r="J41" s="136"/>
      <c r="K41" s="143"/>
      <c r="L41" s="137"/>
      <c r="M41" s="137"/>
    </row>
    <row r="42" spans="1:13" ht="17" x14ac:dyDescent="0.2">
      <c r="A42" s="769">
        <v>13</v>
      </c>
      <c r="B42" s="769" t="s">
        <v>132</v>
      </c>
      <c r="C42" s="773" t="s">
        <v>138</v>
      </c>
      <c r="D42" s="769">
        <v>3</v>
      </c>
      <c r="E42" s="769">
        <v>4</v>
      </c>
      <c r="F42" s="769">
        <v>14</v>
      </c>
      <c r="G42" s="136">
        <v>14</v>
      </c>
      <c r="H42" s="769"/>
      <c r="I42" s="141"/>
      <c r="J42" s="150"/>
      <c r="K42" s="149"/>
      <c r="L42" s="137"/>
      <c r="M42" s="137"/>
    </row>
    <row r="43" spans="1:13" ht="17" x14ac:dyDescent="0.2">
      <c r="A43" s="769"/>
      <c r="B43" s="769"/>
      <c r="C43" s="773"/>
      <c r="D43" s="769"/>
      <c r="E43" s="769"/>
      <c r="F43" s="769"/>
      <c r="G43" s="136">
        <v>0</v>
      </c>
      <c r="H43" s="769"/>
      <c r="I43" s="136"/>
      <c r="J43" s="136"/>
      <c r="K43" s="146"/>
      <c r="L43" s="137"/>
      <c r="M43" s="137"/>
    </row>
    <row r="44" spans="1:13" ht="17" x14ac:dyDescent="0.2">
      <c r="A44" s="769"/>
      <c r="B44" s="769"/>
      <c r="C44" s="773"/>
      <c r="D44" s="769"/>
      <c r="E44" s="769"/>
      <c r="F44" s="769"/>
      <c r="G44" s="136">
        <v>0</v>
      </c>
      <c r="H44" s="769"/>
      <c r="I44" s="136"/>
      <c r="J44" s="136"/>
      <c r="K44" s="143"/>
      <c r="L44" s="137"/>
      <c r="M44" s="137"/>
    </row>
    <row r="45" spans="1:13" ht="17" x14ac:dyDescent="0.2">
      <c r="A45" s="769">
        <v>14</v>
      </c>
      <c r="B45" s="769" t="s">
        <v>123</v>
      </c>
      <c r="C45" s="773" t="s">
        <v>139</v>
      </c>
      <c r="D45" s="769">
        <v>3</v>
      </c>
      <c r="E45" s="769">
        <v>4</v>
      </c>
      <c r="F45" s="769">
        <v>48</v>
      </c>
      <c r="G45" s="136">
        <v>10</v>
      </c>
      <c r="H45" s="769"/>
      <c r="I45" s="135"/>
      <c r="J45" s="135"/>
      <c r="K45" s="140"/>
      <c r="L45" s="144"/>
      <c r="M45" s="137"/>
    </row>
    <row r="46" spans="1:13" ht="17" x14ac:dyDescent="0.2">
      <c r="A46" s="769"/>
      <c r="B46" s="769"/>
      <c r="C46" s="773"/>
      <c r="D46" s="769"/>
      <c r="E46" s="769"/>
      <c r="F46" s="769"/>
      <c r="G46" s="136">
        <v>10</v>
      </c>
      <c r="H46" s="769"/>
      <c r="I46" s="153"/>
      <c r="J46" s="141"/>
      <c r="K46" s="141"/>
      <c r="L46" s="137"/>
      <c r="M46" s="147"/>
    </row>
    <row r="47" spans="1:13" ht="17" x14ac:dyDescent="0.2">
      <c r="A47" s="769"/>
      <c r="B47" s="769"/>
      <c r="C47" s="773"/>
      <c r="D47" s="769"/>
      <c r="E47" s="769"/>
      <c r="F47" s="769"/>
      <c r="G47" s="136"/>
      <c r="H47" s="769"/>
      <c r="I47" s="154"/>
      <c r="J47" s="150"/>
      <c r="K47" s="149"/>
      <c r="L47" s="144"/>
      <c r="M47" s="133"/>
    </row>
    <row r="48" spans="1:13" ht="17" x14ac:dyDescent="0.2">
      <c r="A48" s="769"/>
      <c r="B48" s="769"/>
      <c r="C48" s="773"/>
      <c r="D48" s="769"/>
      <c r="E48" s="769"/>
      <c r="F48" s="769"/>
      <c r="G48" s="136">
        <v>10</v>
      </c>
      <c r="H48" s="769"/>
      <c r="I48" s="141"/>
      <c r="J48" s="141"/>
      <c r="K48" s="142"/>
      <c r="L48" s="144"/>
      <c r="M48" s="137"/>
    </row>
    <row r="49" spans="1:13" ht="17" x14ac:dyDescent="0.2">
      <c r="A49" s="769"/>
      <c r="B49" s="769"/>
      <c r="C49" s="773"/>
      <c r="D49" s="769"/>
      <c r="E49" s="769"/>
      <c r="F49" s="769"/>
      <c r="G49" s="136"/>
      <c r="H49" s="769"/>
      <c r="I49" s="155"/>
      <c r="J49" s="135"/>
      <c r="K49" s="140"/>
      <c r="L49" s="144"/>
      <c r="M49" s="137"/>
    </row>
    <row r="50" spans="1:13" ht="17" x14ac:dyDescent="0.2">
      <c r="A50" s="769"/>
      <c r="B50" s="769"/>
      <c r="C50" s="773"/>
      <c r="D50" s="769"/>
      <c r="E50" s="769"/>
      <c r="F50" s="769"/>
      <c r="G50" s="136"/>
      <c r="H50" s="769"/>
      <c r="I50" s="141"/>
      <c r="J50" s="136"/>
      <c r="K50" s="143"/>
      <c r="L50" s="144"/>
      <c r="M50" s="144"/>
    </row>
    <row r="51" spans="1:13" ht="17" x14ac:dyDescent="0.2">
      <c r="A51" s="769"/>
      <c r="B51" s="769"/>
      <c r="C51" s="773"/>
      <c r="D51" s="769"/>
      <c r="E51" s="769"/>
      <c r="F51" s="769"/>
      <c r="G51" s="136"/>
      <c r="H51" s="769"/>
      <c r="I51" s="136"/>
      <c r="J51" s="136"/>
      <c r="K51" s="146"/>
      <c r="L51" s="144"/>
      <c r="M51" s="144"/>
    </row>
    <row r="52" spans="1:13" ht="17" x14ac:dyDescent="0.2">
      <c r="A52" s="769">
        <v>15</v>
      </c>
      <c r="B52" s="769" t="s">
        <v>123</v>
      </c>
      <c r="C52" s="773" t="s">
        <v>140</v>
      </c>
      <c r="D52" s="769">
        <v>3</v>
      </c>
      <c r="E52" s="769">
        <v>4</v>
      </c>
      <c r="F52" s="769">
        <v>31</v>
      </c>
      <c r="G52" s="136">
        <v>10</v>
      </c>
      <c r="H52" s="769"/>
      <c r="I52" s="153"/>
      <c r="J52" s="141"/>
      <c r="K52" s="141"/>
      <c r="L52" s="137"/>
      <c r="M52" s="144"/>
    </row>
    <row r="53" spans="1:13" ht="17" x14ac:dyDescent="0.2">
      <c r="A53" s="769"/>
      <c r="B53" s="769"/>
      <c r="C53" s="773"/>
      <c r="D53" s="769"/>
      <c r="E53" s="769"/>
      <c r="F53" s="769"/>
      <c r="G53" s="136">
        <v>10</v>
      </c>
      <c r="H53" s="769"/>
      <c r="I53" s="135"/>
      <c r="J53" s="135"/>
      <c r="K53" s="140"/>
      <c r="L53" s="144"/>
      <c r="M53" s="137"/>
    </row>
    <row r="54" spans="1:13" ht="17" x14ac:dyDescent="0.2">
      <c r="A54" s="769"/>
      <c r="B54" s="769"/>
      <c r="C54" s="773"/>
      <c r="D54" s="769"/>
      <c r="E54" s="769"/>
      <c r="F54" s="769"/>
      <c r="G54" s="136"/>
      <c r="H54" s="769"/>
      <c r="I54" s="154"/>
      <c r="J54" s="156"/>
      <c r="K54" s="156"/>
      <c r="L54" s="144"/>
      <c r="M54" s="137"/>
    </row>
    <row r="55" spans="1:13" ht="17" x14ac:dyDescent="0.2">
      <c r="A55" s="769"/>
      <c r="B55" s="769"/>
      <c r="C55" s="773"/>
      <c r="D55" s="769"/>
      <c r="E55" s="769"/>
      <c r="F55" s="769"/>
      <c r="G55" s="136">
        <v>5</v>
      </c>
      <c r="H55" s="769"/>
      <c r="I55" s="153"/>
      <c r="J55" s="141"/>
      <c r="K55" s="142"/>
      <c r="L55" s="144"/>
      <c r="M55" s="137"/>
    </row>
    <row r="56" spans="1:13" ht="17" x14ac:dyDescent="0.2">
      <c r="A56" s="769"/>
      <c r="B56" s="769"/>
      <c r="C56" s="773"/>
      <c r="D56" s="769"/>
      <c r="E56" s="769"/>
      <c r="F56" s="769"/>
      <c r="G56" s="136"/>
      <c r="H56" s="769"/>
      <c r="I56" s="155"/>
      <c r="J56" s="148"/>
      <c r="K56" s="149"/>
      <c r="L56" s="144"/>
      <c r="M56" s="144"/>
    </row>
    <row r="57" spans="1:13" ht="17" x14ac:dyDescent="0.2">
      <c r="A57" s="769"/>
      <c r="B57" s="769"/>
      <c r="C57" s="773"/>
      <c r="D57" s="769"/>
      <c r="E57" s="769"/>
      <c r="F57" s="769"/>
      <c r="G57" s="136"/>
      <c r="H57" s="769"/>
      <c r="I57" s="157"/>
      <c r="J57" s="141"/>
      <c r="K57" s="142"/>
      <c r="L57" s="144"/>
      <c r="M57" s="144"/>
    </row>
    <row r="58" spans="1:13" ht="17" x14ac:dyDescent="0.2">
      <c r="A58" s="769">
        <v>16</v>
      </c>
      <c r="B58" s="769" t="s">
        <v>123</v>
      </c>
      <c r="C58" s="773" t="s">
        <v>141</v>
      </c>
      <c r="D58" s="769">
        <v>3</v>
      </c>
      <c r="E58" s="769">
        <v>4</v>
      </c>
      <c r="F58" s="769">
        <v>40</v>
      </c>
      <c r="G58" s="136">
        <v>0</v>
      </c>
      <c r="H58" s="769"/>
      <c r="I58" s="141"/>
      <c r="J58" s="150"/>
      <c r="K58" s="149"/>
      <c r="L58" s="144"/>
      <c r="M58" s="137"/>
    </row>
    <row r="59" spans="1:13" ht="17" x14ac:dyDescent="0.2">
      <c r="A59" s="769"/>
      <c r="B59" s="769"/>
      <c r="C59" s="773"/>
      <c r="D59" s="769"/>
      <c r="E59" s="769"/>
      <c r="F59" s="769"/>
      <c r="G59" s="136">
        <v>5</v>
      </c>
      <c r="H59" s="769"/>
      <c r="I59" s="135"/>
      <c r="J59" s="150"/>
      <c r="K59" s="149"/>
      <c r="L59" s="144"/>
      <c r="M59" s="137"/>
    </row>
    <row r="60" spans="1:13" ht="17" x14ac:dyDescent="0.2">
      <c r="A60" s="769"/>
      <c r="B60" s="769"/>
      <c r="C60" s="773"/>
      <c r="D60" s="769"/>
      <c r="E60" s="769"/>
      <c r="F60" s="769"/>
      <c r="G60" s="137">
        <v>0</v>
      </c>
      <c r="H60" s="769"/>
      <c r="I60" s="137"/>
      <c r="J60" s="137"/>
      <c r="K60" s="143"/>
      <c r="L60" s="144"/>
      <c r="M60" s="133"/>
    </row>
    <row r="61" spans="1:13" ht="17" x14ac:dyDescent="0.2">
      <c r="A61" s="769"/>
      <c r="B61" s="769"/>
      <c r="C61" s="773"/>
      <c r="D61" s="769"/>
      <c r="E61" s="769"/>
      <c r="F61" s="769"/>
      <c r="G61" s="136"/>
      <c r="H61" s="769"/>
      <c r="I61" s="141"/>
      <c r="J61" s="141"/>
      <c r="K61" s="142"/>
      <c r="L61" s="144"/>
      <c r="M61" s="158"/>
    </row>
    <row r="62" spans="1:13" ht="17" x14ac:dyDescent="0.2">
      <c r="A62" s="769"/>
      <c r="B62" s="769"/>
      <c r="C62" s="773"/>
      <c r="D62" s="769"/>
      <c r="E62" s="769"/>
      <c r="F62" s="769"/>
      <c r="G62" s="136"/>
      <c r="H62" s="769"/>
      <c r="I62" s="150"/>
      <c r="J62" s="150"/>
      <c r="K62" s="149"/>
      <c r="L62" s="144"/>
      <c r="M62" s="158"/>
    </row>
    <row r="63" spans="1:13" ht="17" x14ac:dyDescent="0.2">
      <c r="A63" s="769"/>
      <c r="B63" s="769"/>
      <c r="C63" s="773"/>
      <c r="D63" s="769"/>
      <c r="E63" s="769"/>
      <c r="F63" s="769"/>
      <c r="G63" s="136">
        <v>0</v>
      </c>
      <c r="H63" s="769"/>
      <c r="I63" s="135"/>
      <c r="J63" s="136"/>
      <c r="K63" s="146"/>
      <c r="L63" s="137"/>
      <c r="M63" s="137"/>
    </row>
    <row r="64" spans="1:13" ht="17" x14ac:dyDescent="0.2">
      <c r="A64" s="769">
        <v>17</v>
      </c>
      <c r="B64" s="769" t="s">
        <v>132</v>
      </c>
      <c r="C64" s="773" t="s">
        <v>142</v>
      </c>
      <c r="D64" s="769">
        <v>3</v>
      </c>
      <c r="E64" s="769">
        <v>4</v>
      </c>
      <c r="F64" s="769">
        <v>40</v>
      </c>
      <c r="G64" s="136"/>
      <c r="H64" s="769"/>
      <c r="I64" s="136"/>
      <c r="J64" s="152"/>
      <c r="K64" s="152"/>
      <c r="L64" s="137"/>
      <c r="M64" s="137"/>
    </row>
    <row r="65" spans="1:13" ht="17" x14ac:dyDescent="0.2">
      <c r="A65" s="769"/>
      <c r="B65" s="769"/>
      <c r="C65" s="773"/>
      <c r="D65" s="769"/>
      <c r="E65" s="769"/>
      <c r="F65" s="769"/>
      <c r="G65" s="136"/>
      <c r="H65" s="769"/>
      <c r="I65" s="136"/>
      <c r="J65" s="136"/>
      <c r="K65" s="145"/>
      <c r="L65" s="137"/>
      <c r="M65" s="137"/>
    </row>
    <row r="66" spans="1:13" ht="17" x14ac:dyDescent="0.2">
      <c r="A66" s="769"/>
      <c r="B66" s="769"/>
      <c r="C66" s="773"/>
      <c r="D66" s="769"/>
      <c r="E66" s="769"/>
      <c r="F66" s="769"/>
      <c r="G66" s="136"/>
      <c r="H66" s="769"/>
      <c r="I66" s="136"/>
      <c r="J66" s="136"/>
      <c r="K66" s="145"/>
      <c r="L66" s="137"/>
      <c r="M66" s="137"/>
    </row>
    <row r="67" spans="1:13" ht="17" x14ac:dyDescent="0.2">
      <c r="A67" s="769">
        <v>18</v>
      </c>
      <c r="B67" s="769" t="s">
        <v>132</v>
      </c>
      <c r="C67" s="773" t="s">
        <v>143</v>
      </c>
      <c r="D67" s="769">
        <v>3</v>
      </c>
      <c r="E67" s="769">
        <v>4</v>
      </c>
      <c r="F67" s="769">
        <v>30</v>
      </c>
      <c r="G67" s="136">
        <v>0</v>
      </c>
      <c r="H67" s="769"/>
      <c r="I67" s="141"/>
      <c r="J67" s="150"/>
      <c r="K67" s="149"/>
      <c r="L67" s="137"/>
      <c r="M67" s="144"/>
    </row>
    <row r="68" spans="1:13" ht="17" x14ac:dyDescent="0.2">
      <c r="A68" s="769"/>
      <c r="B68" s="769"/>
      <c r="C68" s="773"/>
      <c r="D68" s="769"/>
      <c r="E68" s="769"/>
      <c r="F68" s="769"/>
      <c r="G68" s="136">
        <v>0</v>
      </c>
      <c r="H68" s="769"/>
      <c r="I68" s="141"/>
      <c r="J68" s="160"/>
      <c r="K68" s="136"/>
      <c r="L68" s="137"/>
      <c r="M68" s="137"/>
    </row>
    <row r="69" spans="1:13" ht="17" x14ac:dyDescent="0.2">
      <c r="A69" s="769"/>
      <c r="B69" s="769"/>
      <c r="C69" s="773"/>
      <c r="D69" s="769"/>
      <c r="E69" s="769"/>
      <c r="F69" s="769"/>
      <c r="G69" s="136">
        <v>0</v>
      </c>
      <c r="H69" s="769"/>
      <c r="I69" s="141"/>
      <c r="J69" s="160"/>
      <c r="K69" s="136"/>
      <c r="L69" s="137"/>
      <c r="M69" s="137"/>
    </row>
    <row r="70" spans="1:13" ht="17" x14ac:dyDescent="0.2">
      <c r="A70" s="769"/>
      <c r="B70" s="769"/>
      <c r="C70" s="773"/>
      <c r="D70" s="769"/>
      <c r="E70" s="769"/>
      <c r="F70" s="769"/>
      <c r="G70" s="136">
        <v>0</v>
      </c>
      <c r="H70" s="769"/>
      <c r="I70" s="161"/>
      <c r="J70" s="161"/>
      <c r="K70" s="162"/>
      <c r="L70" s="137"/>
      <c r="M70" s="137"/>
    </row>
    <row r="71" spans="1:13" ht="17" x14ac:dyDescent="0.2">
      <c r="A71" s="769">
        <v>19</v>
      </c>
      <c r="B71" s="769" t="s">
        <v>132</v>
      </c>
      <c r="C71" s="773" t="s">
        <v>144</v>
      </c>
      <c r="D71" s="769">
        <v>3</v>
      </c>
      <c r="E71" s="769">
        <v>4</v>
      </c>
      <c r="F71" s="769">
        <v>29</v>
      </c>
      <c r="G71" s="136">
        <v>10</v>
      </c>
      <c r="H71" s="769"/>
      <c r="I71" s="135"/>
      <c r="J71" s="135"/>
      <c r="K71" s="140"/>
      <c r="L71" s="144"/>
      <c r="M71" s="137"/>
    </row>
    <row r="72" spans="1:13" ht="17" x14ac:dyDescent="0.2">
      <c r="A72" s="769"/>
      <c r="B72" s="769"/>
      <c r="C72" s="773"/>
      <c r="D72" s="769"/>
      <c r="E72" s="769"/>
      <c r="F72" s="769"/>
      <c r="G72" s="136">
        <v>5</v>
      </c>
      <c r="H72" s="769"/>
      <c r="I72" s="135"/>
      <c r="J72" s="150"/>
      <c r="K72" s="149"/>
      <c r="L72" s="144"/>
      <c r="M72" s="137"/>
    </row>
    <row r="73" spans="1:13" ht="17" x14ac:dyDescent="0.2">
      <c r="A73" s="769"/>
      <c r="B73" s="769"/>
      <c r="C73" s="773"/>
      <c r="D73" s="769"/>
      <c r="E73" s="769"/>
      <c r="F73" s="769"/>
      <c r="G73" s="136"/>
      <c r="H73" s="769"/>
      <c r="I73" s="141"/>
      <c r="J73" s="141"/>
      <c r="K73" s="142"/>
      <c r="L73" s="137"/>
      <c r="M73" s="137"/>
    </row>
    <row r="74" spans="1:13" ht="17" x14ac:dyDescent="0.2">
      <c r="A74" s="769"/>
      <c r="B74" s="769"/>
      <c r="C74" s="773"/>
      <c r="D74" s="769"/>
      <c r="E74" s="769"/>
      <c r="F74" s="769"/>
      <c r="G74" s="136"/>
      <c r="H74" s="769"/>
      <c r="I74" s="136"/>
      <c r="J74" s="136"/>
      <c r="K74" s="146"/>
      <c r="L74" s="137"/>
      <c r="M74" s="137"/>
    </row>
    <row r="75" spans="1:13" ht="17" x14ac:dyDescent="0.2">
      <c r="A75" s="769">
        <v>20</v>
      </c>
      <c r="B75" s="769" t="s">
        <v>132</v>
      </c>
      <c r="C75" s="773" t="s">
        <v>145</v>
      </c>
      <c r="D75" s="769">
        <v>3</v>
      </c>
      <c r="E75" s="769">
        <v>4</v>
      </c>
      <c r="F75" s="769">
        <v>91</v>
      </c>
      <c r="G75" s="136">
        <v>10</v>
      </c>
      <c r="H75" s="769"/>
      <c r="I75" s="135"/>
      <c r="J75" s="135"/>
      <c r="K75" s="140"/>
      <c r="L75" s="144"/>
      <c r="M75" s="137"/>
    </row>
    <row r="76" spans="1:13" ht="17" x14ac:dyDescent="0.2">
      <c r="A76" s="774"/>
      <c r="B76" s="769"/>
      <c r="C76" s="775"/>
      <c r="D76" s="774"/>
      <c r="E76" s="774"/>
      <c r="F76" s="774"/>
      <c r="G76" s="136">
        <v>10</v>
      </c>
      <c r="H76" s="774"/>
      <c r="I76" s="141"/>
      <c r="J76" s="150"/>
      <c r="K76" s="149"/>
      <c r="L76" s="137"/>
      <c r="M76" s="137"/>
    </row>
    <row r="77" spans="1:13" ht="17" x14ac:dyDescent="0.2">
      <c r="A77" s="774"/>
      <c r="B77" s="769"/>
      <c r="C77" s="775"/>
      <c r="D77" s="774"/>
      <c r="E77" s="774"/>
      <c r="F77" s="774"/>
      <c r="G77" s="136">
        <v>15</v>
      </c>
      <c r="H77" s="774"/>
      <c r="I77" s="141"/>
      <c r="J77" s="150"/>
      <c r="K77" s="149"/>
      <c r="L77" s="137"/>
      <c r="M77" s="137"/>
    </row>
    <row r="78" spans="1:13" ht="17" x14ac:dyDescent="0.2">
      <c r="A78" s="774"/>
      <c r="B78" s="769"/>
      <c r="C78" s="775"/>
      <c r="D78" s="774"/>
      <c r="E78" s="774"/>
      <c r="F78" s="774"/>
      <c r="G78" s="136">
        <v>10</v>
      </c>
      <c r="H78" s="774"/>
      <c r="I78" s="157"/>
      <c r="J78" s="135"/>
      <c r="K78" s="140"/>
      <c r="L78" s="137"/>
      <c r="M78" s="133"/>
    </row>
    <row r="79" spans="1:13" ht="17" x14ac:dyDescent="0.2">
      <c r="A79" s="774"/>
      <c r="B79" s="769"/>
      <c r="C79" s="775"/>
      <c r="D79" s="774"/>
      <c r="E79" s="774"/>
      <c r="F79" s="774"/>
      <c r="G79" s="136">
        <v>5</v>
      </c>
      <c r="H79" s="774"/>
      <c r="I79" s="150"/>
      <c r="J79" s="150"/>
      <c r="K79" s="149"/>
      <c r="L79" s="137"/>
      <c r="M79" s="137"/>
    </row>
    <row r="80" spans="1:13" ht="17" x14ac:dyDescent="0.2">
      <c r="A80" s="769"/>
      <c r="B80" s="769"/>
      <c r="C80" s="773"/>
      <c r="D80" s="769"/>
      <c r="E80" s="769"/>
      <c r="F80" s="769"/>
      <c r="G80" s="136">
        <v>0</v>
      </c>
      <c r="H80" s="769"/>
      <c r="I80" s="157"/>
      <c r="J80" s="157"/>
      <c r="K80" s="157"/>
      <c r="L80" s="144"/>
      <c r="M80" s="137"/>
    </row>
    <row r="81" spans="1:13" ht="17" x14ac:dyDescent="0.2">
      <c r="A81" s="769">
        <v>21</v>
      </c>
      <c r="B81" s="769" t="s">
        <v>130</v>
      </c>
      <c r="C81" s="776" t="s">
        <v>146</v>
      </c>
      <c r="D81" s="769">
        <v>3</v>
      </c>
      <c r="E81" s="769">
        <v>4</v>
      </c>
      <c r="F81" s="778">
        <v>44</v>
      </c>
      <c r="G81" s="136">
        <v>0</v>
      </c>
      <c r="H81" s="769"/>
      <c r="I81" s="135"/>
      <c r="J81" s="135"/>
      <c r="K81" s="140"/>
      <c r="L81" s="137"/>
      <c r="M81" s="137"/>
    </row>
    <row r="82" spans="1:13" ht="17" x14ac:dyDescent="0.2">
      <c r="A82" s="769"/>
      <c r="B82" s="769"/>
      <c r="C82" s="776"/>
      <c r="D82" s="769"/>
      <c r="E82" s="769"/>
      <c r="F82" s="778"/>
      <c r="G82" s="136"/>
      <c r="H82" s="769"/>
      <c r="I82" s="136"/>
      <c r="J82" s="141"/>
      <c r="K82" s="142"/>
      <c r="L82" s="144"/>
      <c r="M82" s="137"/>
    </row>
    <row r="83" spans="1:13" ht="17" x14ac:dyDescent="0.2">
      <c r="A83" s="769"/>
      <c r="B83" s="769"/>
      <c r="C83" s="776"/>
      <c r="D83" s="769"/>
      <c r="E83" s="769"/>
      <c r="F83" s="778"/>
      <c r="G83" s="137">
        <v>0</v>
      </c>
      <c r="H83" s="769"/>
      <c r="I83" s="136"/>
      <c r="J83" s="136"/>
      <c r="K83" s="143"/>
      <c r="L83" s="137"/>
      <c r="M83" s="137"/>
    </row>
    <row r="84" spans="1:13" ht="17" x14ac:dyDescent="0.2">
      <c r="A84" s="769">
        <v>22</v>
      </c>
      <c r="B84" s="769" t="s">
        <v>130</v>
      </c>
      <c r="C84" s="776" t="s">
        <v>147</v>
      </c>
      <c r="D84" s="769">
        <v>3</v>
      </c>
      <c r="E84" s="769">
        <v>4</v>
      </c>
      <c r="F84" s="778">
        <v>28</v>
      </c>
      <c r="G84" s="137">
        <v>0</v>
      </c>
      <c r="H84" s="769"/>
      <c r="I84" s="136"/>
      <c r="J84" s="136"/>
      <c r="K84" s="145"/>
      <c r="L84" s="137"/>
      <c r="M84" s="137"/>
    </row>
    <row r="85" spans="1:13" ht="17" x14ac:dyDescent="0.2">
      <c r="A85" s="769"/>
      <c r="B85" s="769"/>
      <c r="C85" s="776"/>
      <c r="D85" s="769"/>
      <c r="E85" s="769"/>
      <c r="F85" s="778"/>
      <c r="G85" s="137">
        <v>0</v>
      </c>
      <c r="H85" s="769"/>
      <c r="I85" s="136"/>
      <c r="J85" s="136"/>
      <c r="K85" s="146"/>
      <c r="L85" s="137"/>
      <c r="M85" s="137"/>
    </row>
    <row r="86" spans="1:13" ht="17" x14ac:dyDescent="0.2">
      <c r="A86" s="769"/>
      <c r="B86" s="769"/>
      <c r="C86" s="776"/>
      <c r="D86" s="769"/>
      <c r="E86" s="769"/>
      <c r="F86" s="778"/>
      <c r="G86" s="137">
        <v>0</v>
      </c>
      <c r="H86" s="769"/>
      <c r="I86" s="136"/>
      <c r="J86" s="136"/>
      <c r="K86" s="143"/>
      <c r="L86" s="137"/>
      <c r="M86" s="137"/>
    </row>
    <row r="87" spans="1:13" ht="17" x14ac:dyDescent="0.2">
      <c r="A87" s="769">
        <v>23</v>
      </c>
      <c r="B87" s="769" t="s">
        <v>132</v>
      </c>
      <c r="C87" s="777" t="s">
        <v>148</v>
      </c>
      <c r="D87" s="769">
        <v>3</v>
      </c>
      <c r="E87" s="769">
        <v>4</v>
      </c>
      <c r="F87" s="778">
        <v>45</v>
      </c>
      <c r="G87" s="137">
        <v>4</v>
      </c>
      <c r="H87" s="769"/>
      <c r="I87" s="141"/>
      <c r="J87" s="150"/>
      <c r="K87" s="149"/>
      <c r="L87" s="137"/>
      <c r="M87" s="137"/>
    </row>
    <row r="88" spans="1:13" ht="17" x14ac:dyDescent="0.2">
      <c r="A88" s="769"/>
      <c r="B88" s="769"/>
      <c r="C88" s="777"/>
      <c r="D88" s="769"/>
      <c r="E88" s="769"/>
      <c r="F88" s="778"/>
      <c r="G88" s="137"/>
      <c r="H88" s="769"/>
      <c r="I88" s="157"/>
      <c r="J88" s="135"/>
      <c r="K88" s="140"/>
      <c r="L88" s="137"/>
      <c r="M88" s="137"/>
    </row>
    <row r="89" spans="1:13" ht="17" x14ac:dyDescent="0.2">
      <c r="A89" s="769"/>
      <c r="B89" s="769"/>
      <c r="C89" s="777"/>
      <c r="D89" s="769"/>
      <c r="E89" s="769"/>
      <c r="F89" s="778"/>
      <c r="G89" s="137">
        <v>0</v>
      </c>
      <c r="H89" s="769"/>
      <c r="I89" s="136"/>
      <c r="J89" s="136"/>
      <c r="K89" s="143"/>
      <c r="L89" s="137"/>
      <c r="M89" s="137"/>
    </row>
    <row r="90" spans="1:13" ht="17" x14ac:dyDescent="0.2">
      <c r="A90" s="769">
        <v>24</v>
      </c>
      <c r="B90" s="769" t="s">
        <v>132</v>
      </c>
      <c r="C90" s="776" t="s">
        <v>149</v>
      </c>
      <c r="D90" s="769">
        <v>3</v>
      </c>
      <c r="E90" s="769">
        <v>4</v>
      </c>
      <c r="F90" s="778">
        <v>34</v>
      </c>
      <c r="G90" s="137"/>
      <c r="H90" s="769"/>
      <c r="I90" s="136"/>
      <c r="J90" s="136"/>
      <c r="K90" s="146"/>
      <c r="L90" s="137"/>
      <c r="M90" s="137"/>
    </row>
    <row r="91" spans="1:13" ht="17" x14ac:dyDescent="0.2">
      <c r="A91" s="769"/>
      <c r="B91" s="769"/>
      <c r="C91" s="776"/>
      <c r="D91" s="769"/>
      <c r="E91" s="769"/>
      <c r="F91" s="778"/>
      <c r="G91" s="137">
        <v>0</v>
      </c>
      <c r="H91" s="769"/>
      <c r="I91" s="136"/>
      <c r="J91" s="136"/>
      <c r="K91" s="146"/>
      <c r="L91" s="137"/>
      <c r="M91" s="137"/>
    </row>
    <row r="92" spans="1:13" ht="17" x14ac:dyDescent="0.2">
      <c r="A92" s="769"/>
      <c r="B92" s="769"/>
      <c r="C92" s="776"/>
      <c r="D92" s="769"/>
      <c r="E92" s="769"/>
      <c r="F92" s="778"/>
      <c r="G92" s="137">
        <v>0</v>
      </c>
      <c r="H92" s="769"/>
      <c r="I92" s="136"/>
      <c r="J92" s="136"/>
      <c r="K92" s="143"/>
      <c r="L92" s="137"/>
      <c r="M92" s="137"/>
    </row>
    <row r="93" spans="1:13" ht="17" x14ac:dyDescent="0.2">
      <c r="A93" s="769">
        <v>25</v>
      </c>
      <c r="B93" s="769" t="s">
        <v>123</v>
      </c>
      <c r="C93" s="776" t="s">
        <v>150</v>
      </c>
      <c r="D93" s="769">
        <v>3</v>
      </c>
      <c r="E93" s="769">
        <v>4</v>
      </c>
      <c r="F93" s="778">
        <v>4</v>
      </c>
      <c r="G93" s="137"/>
      <c r="H93" s="769"/>
      <c r="I93" s="151"/>
      <c r="J93" s="163"/>
      <c r="K93" s="164"/>
      <c r="L93" s="137"/>
      <c r="M93" s="137"/>
    </row>
    <row r="94" spans="1:13" ht="17" x14ac:dyDescent="0.2">
      <c r="A94" s="769"/>
      <c r="B94" s="769"/>
      <c r="C94" s="776"/>
      <c r="D94" s="769"/>
      <c r="E94" s="769"/>
      <c r="F94" s="778"/>
      <c r="G94" s="137">
        <v>0</v>
      </c>
      <c r="H94" s="769"/>
      <c r="I94" s="136"/>
      <c r="J94" s="136"/>
      <c r="K94" s="143"/>
      <c r="L94" s="137"/>
      <c r="M94" s="137"/>
    </row>
    <row r="95" spans="1:13" ht="17" x14ac:dyDescent="0.2">
      <c r="A95" s="769"/>
      <c r="B95" s="769"/>
      <c r="C95" s="776"/>
      <c r="D95" s="769"/>
      <c r="E95" s="769"/>
      <c r="F95" s="778"/>
      <c r="G95" s="137">
        <v>0</v>
      </c>
      <c r="H95" s="769"/>
      <c r="I95" s="136"/>
      <c r="J95" s="136"/>
      <c r="K95" s="143"/>
      <c r="L95" s="137"/>
      <c r="M95" s="137"/>
    </row>
    <row r="96" spans="1:13" ht="17" x14ac:dyDescent="0.2">
      <c r="A96" s="769">
        <v>26</v>
      </c>
      <c r="B96" s="769" t="s">
        <v>130</v>
      </c>
      <c r="C96" s="776" t="s">
        <v>151</v>
      </c>
      <c r="D96" s="769">
        <v>3</v>
      </c>
      <c r="E96" s="769">
        <v>4</v>
      </c>
      <c r="F96" s="778">
        <v>28</v>
      </c>
      <c r="G96" s="137"/>
      <c r="H96" s="769"/>
      <c r="I96" s="136"/>
      <c r="J96" s="150"/>
      <c r="K96" s="149"/>
      <c r="L96" s="137"/>
      <c r="M96" s="137"/>
    </row>
    <row r="97" spans="1:13" ht="17" x14ac:dyDescent="0.2">
      <c r="A97" s="769"/>
      <c r="B97" s="769"/>
      <c r="C97" s="776"/>
      <c r="D97" s="769"/>
      <c r="E97" s="769"/>
      <c r="F97" s="778"/>
      <c r="G97" s="137"/>
      <c r="H97" s="769"/>
      <c r="I97" s="141"/>
      <c r="J97" s="136"/>
      <c r="K97" s="143"/>
      <c r="L97" s="137"/>
      <c r="M97" s="137"/>
    </row>
    <row r="98" spans="1:13" ht="17" x14ac:dyDescent="0.2">
      <c r="A98" s="769"/>
      <c r="B98" s="769"/>
      <c r="C98" s="776"/>
      <c r="D98" s="769"/>
      <c r="E98" s="769"/>
      <c r="F98" s="778"/>
      <c r="G98" s="137">
        <v>0</v>
      </c>
      <c r="H98" s="769"/>
      <c r="I98" s="136"/>
      <c r="J98" s="136"/>
      <c r="K98" s="143"/>
      <c r="L98" s="137"/>
      <c r="M98" s="137"/>
    </row>
    <row r="99" spans="1:13" ht="17" x14ac:dyDescent="0.2">
      <c r="A99" s="769">
        <v>27</v>
      </c>
      <c r="B99" s="769" t="s">
        <v>130</v>
      </c>
      <c r="C99" s="776" t="s">
        <v>152</v>
      </c>
      <c r="D99" s="769">
        <v>3</v>
      </c>
      <c r="E99" s="769">
        <v>4</v>
      </c>
      <c r="F99" s="778">
        <v>10</v>
      </c>
      <c r="G99" s="137">
        <v>0</v>
      </c>
      <c r="H99" s="769"/>
      <c r="I99" s="136"/>
      <c r="J99" s="136"/>
      <c r="K99" s="146"/>
      <c r="L99" s="137"/>
      <c r="M99" s="137"/>
    </row>
    <row r="100" spans="1:13" ht="17" x14ac:dyDescent="0.2">
      <c r="A100" s="769"/>
      <c r="B100" s="769"/>
      <c r="C100" s="776"/>
      <c r="D100" s="769"/>
      <c r="E100" s="769"/>
      <c r="F100" s="778"/>
      <c r="G100" s="137">
        <v>0</v>
      </c>
      <c r="H100" s="769"/>
      <c r="I100" s="136"/>
      <c r="J100" s="136"/>
      <c r="K100" s="146"/>
      <c r="L100" s="137"/>
      <c r="M100" s="137"/>
    </row>
    <row r="101" spans="1:13" ht="17" x14ac:dyDescent="0.2">
      <c r="A101" s="769"/>
      <c r="B101" s="769"/>
      <c r="C101" s="776"/>
      <c r="D101" s="769"/>
      <c r="E101" s="769"/>
      <c r="F101" s="778"/>
      <c r="G101" s="137">
        <v>0</v>
      </c>
      <c r="H101" s="769"/>
      <c r="I101" s="136"/>
      <c r="J101" s="136"/>
      <c r="K101" s="146"/>
      <c r="L101" s="137"/>
      <c r="M101" s="137"/>
    </row>
    <row r="102" spans="1:13" ht="17" x14ac:dyDescent="0.2">
      <c r="A102" s="769">
        <v>28</v>
      </c>
      <c r="B102" s="769" t="s">
        <v>130</v>
      </c>
      <c r="C102" s="776" t="s">
        <v>153</v>
      </c>
      <c r="D102" s="769">
        <v>3</v>
      </c>
      <c r="E102" s="769">
        <v>4</v>
      </c>
      <c r="F102" s="778">
        <v>14</v>
      </c>
      <c r="G102" s="137"/>
      <c r="H102" s="769"/>
      <c r="I102" s="157"/>
      <c r="J102" s="135"/>
      <c r="K102" s="140"/>
      <c r="L102" s="137"/>
      <c r="M102" s="137"/>
    </row>
    <row r="103" spans="1:13" ht="17" x14ac:dyDescent="0.2">
      <c r="A103" s="769"/>
      <c r="B103" s="769"/>
      <c r="C103" s="776"/>
      <c r="D103" s="769"/>
      <c r="E103" s="769"/>
      <c r="F103" s="778"/>
      <c r="G103" s="137"/>
      <c r="H103" s="769"/>
      <c r="I103" s="136"/>
      <c r="J103" s="141"/>
      <c r="K103" s="142"/>
      <c r="L103" s="137"/>
      <c r="M103" s="137"/>
    </row>
    <row r="104" spans="1:13" ht="17" x14ac:dyDescent="0.2">
      <c r="A104" s="769"/>
      <c r="B104" s="769"/>
      <c r="C104" s="776"/>
      <c r="D104" s="769"/>
      <c r="E104" s="769"/>
      <c r="F104" s="778"/>
      <c r="G104" s="137">
        <v>0</v>
      </c>
      <c r="H104" s="769"/>
      <c r="I104" s="136"/>
      <c r="J104" s="136"/>
      <c r="K104" s="146"/>
      <c r="L104" s="137"/>
      <c r="M104" s="137"/>
    </row>
    <row r="105" spans="1:13" ht="17" x14ac:dyDescent="0.2">
      <c r="A105" s="769">
        <v>29</v>
      </c>
      <c r="B105" s="769" t="s">
        <v>123</v>
      </c>
      <c r="C105" s="777" t="s">
        <v>154</v>
      </c>
      <c r="D105" s="769">
        <v>3</v>
      </c>
      <c r="E105" s="769">
        <v>4</v>
      </c>
      <c r="F105" s="778">
        <v>14</v>
      </c>
      <c r="G105" s="137"/>
      <c r="H105" s="769"/>
      <c r="I105" s="161"/>
      <c r="J105" s="150"/>
      <c r="K105" s="149"/>
      <c r="L105" s="137"/>
      <c r="M105" s="137"/>
    </row>
    <row r="106" spans="1:13" ht="17" x14ac:dyDescent="0.2">
      <c r="A106" s="769"/>
      <c r="B106" s="769"/>
      <c r="C106" s="777"/>
      <c r="D106" s="769"/>
      <c r="E106" s="769"/>
      <c r="F106" s="778"/>
      <c r="G106" s="137"/>
      <c r="H106" s="769"/>
      <c r="I106" s="161"/>
      <c r="J106" s="141"/>
      <c r="K106" s="142"/>
      <c r="L106" s="137"/>
      <c r="M106" s="137"/>
    </row>
    <row r="107" spans="1:13" ht="17" x14ac:dyDescent="0.2">
      <c r="A107" s="769"/>
      <c r="B107" s="769"/>
      <c r="C107" s="777"/>
      <c r="D107" s="769"/>
      <c r="E107" s="769"/>
      <c r="F107" s="778"/>
      <c r="G107" s="137">
        <v>0</v>
      </c>
      <c r="H107" s="769"/>
      <c r="I107" s="136"/>
      <c r="J107" s="136"/>
      <c r="K107" s="145"/>
      <c r="L107" s="137"/>
      <c r="M107" s="137"/>
    </row>
    <row r="108" spans="1:13" ht="17" x14ac:dyDescent="0.2">
      <c r="A108" s="769">
        <v>30</v>
      </c>
      <c r="B108" s="769" t="s">
        <v>130</v>
      </c>
      <c r="C108" s="777" t="s">
        <v>155</v>
      </c>
      <c r="D108" s="769">
        <v>3</v>
      </c>
      <c r="E108" s="769">
        <v>4</v>
      </c>
      <c r="F108" s="778">
        <v>24</v>
      </c>
      <c r="G108" s="137"/>
      <c r="H108" s="769"/>
      <c r="I108" s="136"/>
      <c r="J108" s="136"/>
      <c r="K108" s="145"/>
      <c r="L108" s="137"/>
      <c r="M108" s="137"/>
    </row>
    <row r="109" spans="1:13" ht="17" x14ac:dyDescent="0.2">
      <c r="A109" s="769"/>
      <c r="B109" s="769"/>
      <c r="C109" s="777"/>
      <c r="D109" s="769"/>
      <c r="E109" s="769"/>
      <c r="F109" s="778"/>
      <c r="G109" s="137"/>
      <c r="H109" s="769"/>
      <c r="I109" s="136"/>
      <c r="J109" s="136"/>
      <c r="K109" s="143"/>
      <c r="L109" s="137"/>
      <c r="M109" s="137"/>
    </row>
    <row r="110" spans="1:13" ht="17" x14ac:dyDescent="0.2">
      <c r="A110" s="769"/>
      <c r="B110" s="769"/>
      <c r="C110" s="777"/>
      <c r="D110" s="769"/>
      <c r="E110" s="769"/>
      <c r="F110" s="778"/>
      <c r="G110" s="137">
        <v>0</v>
      </c>
      <c r="H110" s="769"/>
      <c r="I110" s="136"/>
      <c r="J110" s="136"/>
      <c r="K110" s="145"/>
      <c r="L110" s="137"/>
      <c r="M110" s="137"/>
    </row>
    <row r="111" spans="1:13" ht="17" x14ac:dyDescent="0.2">
      <c r="A111" s="769">
        <v>31</v>
      </c>
      <c r="B111" s="769" t="s">
        <v>132</v>
      </c>
      <c r="C111" s="777" t="s">
        <v>156</v>
      </c>
      <c r="D111" s="769">
        <v>3</v>
      </c>
      <c r="E111" s="769">
        <v>4</v>
      </c>
      <c r="F111" s="778">
        <v>24</v>
      </c>
      <c r="G111" s="137"/>
      <c r="H111" s="769"/>
      <c r="I111" s="161"/>
      <c r="J111" s="152"/>
      <c r="K111" s="152"/>
      <c r="L111" s="137"/>
      <c r="M111" s="137"/>
    </row>
    <row r="112" spans="1:13" ht="17" x14ac:dyDescent="0.2">
      <c r="A112" s="769"/>
      <c r="B112" s="769"/>
      <c r="C112" s="777"/>
      <c r="D112" s="769"/>
      <c r="E112" s="769"/>
      <c r="F112" s="778"/>
      <c r="G112" s="137"/>
      <c r="H112" s="769"/>
      <c r="I112" s="136"/>
      <c r="J112" s="152"/>
      <c r="K112" s="152"/>
      <c r="L112" s="137"/>
      <c r="M112" s="137"/>
    </row>
    <row r="113" spans="1:13" ht="17" x14ac:dyDescent="0.2">
      <c r="A113" s="769"/>
      <c r="B113" s="769"/>
      <c r="C113" s="777"/>
      <c r="D113" s="769"/>
      <c r="E113" s="769"/>
      <c r="F113" s="778"/>
      <c r="G113" s="137">
        <v>0</v>
      </c>
      <c r="H113" s="769"/>
      <c r="I113" s="136"/>
      <c r="J113" s="136"/>
      <c r="K113" s="145"/>
      <c r="L113" s="137"/>
      <c r="M113" s="137"/>
    </row>
    <row r="114" spans="1:13" ht="17" x14ac:dyDescent="0.2">
      <c r="A114" s="769">
        <v>32</v>
      </c>
      <c r="B114" s="769" t="s">
        <v>132</v>
      </c>
      <c r="C114" s="777" t="s">
        <v>157</v>
      </c>
      <c r="D114" s="769">
        <v>3</v>
      </c>
      <c r="E114" s="769">
        <v>4</v>
      </c>
      <c r="F114" s="778">
        <v>30</v>
      </c>
      <c r="G114" s="137">
        <v>0</v>
      </c>
      <c r="H114" s="769"/>
      <c r="I114" s="141"/>
      <c r="J114" s="136"/>
      <c r="K114" s="137"/>
      <c r="L114" s="137"/>
      <c r="M114" s="137"/>
    </row>
    <row r="115" spans="1:13" ht="17" x14ac:dyDescent="0.2">
      <c r="A115" s="769"/>
      <c r="B115" s="769"/>
      <c r="C115" s="777"/>
      <c r="D115" s="769"/>
      <c r="E115" s="769"/>
      <c r="F115" s="778"/>
      <c r="G115" s="137">
        <v>0</v>
      </c>
      <c r="H115" s="769"/>
      <c r="I115" s="136"/>
      <c r="J115" s="136"/>
      <c r="K115" s="145"/>
      <c r="L115" s="137"/>
      <c r="M115" s="137"/>
    </row>
    <row r="116" spans="1:13" ht="17" x14ac:dyDescent="0.2">
      <c r="A116" s="769"/>
      <c r="B116" s="769"/>
      <c r="C116" s="777"/>
      <c r="D116" s="769"/>
      <c r="E116" s="769"/>
      <c r="F116" s="778"/>
      <c r="G116" s="137">
        <v>0</v>
      </c>
      <c r="H116" s="769"/>
      <c r="I116" s="136"/>
      <c r="J116" s="136"/>
      <c r="K116" s="145"/>
      <c r="L116" s="137"/>
      <c r="M116" s="137"/>
    </row>
    <row r="117" spans="1:13" ht="18" x14ac:dyDescent="0.2">
      <c r="A117" s="137"/>
      <c r="B117" s="137"/>
      <c r="C117" s="137" t="s">
        <v>158</v>
      </c>
      <c r="D117" s="137"/>
      <c r="E117" s="137"/>
      <c r="F117" s="137">
        <f>SUM(F4:F116)</f>
        <v>848</v>
      </c>
      <c r="G117" s="137">
        <f>SUM(G4:G116)</f>
        <v>183</v>
      </c>
      <c r="H117" s="137">
        <f>SUM(H4:H116)</f>
        <v>0</v>
      </c>
      <c r="I117" s="137"/>
      <c r="J117" s="137"/>
      <c r="K117" s="143"/>
      <c r="L117" s="137"/>
      <c r="M117" s="137"/>
    </row>
    <row r="118" spans="1:13" ht="17" x14ac:dyDescent="0.2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65"/>
      <c r="L118" s="159"/>
      <c r="M118" s="159"/>
    </row>
  </sheetData>
  <mergeCells count="235">
    <mergeCell ref="H111:H113"/>
    <mergeCell ref="H114:H116"/>
    <mergeCell ref="I2:I3"/>
    <mergeCell ref="L2:L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F114:F116"/>
    <mergeCell ref="G2:G3"/>
    <mergeCell ref="H2:H3"/>
    <mergeCell ref="H4:H6"/>
    <mergeCell ref="H7:H9"/>
    <mergeCell ref="H10:H12"/>
    <mergeCell ref="H13:H15"/>
    <mergeCell ref="H16:H18"/>
    <mergeCell ref="H19:H23"/>
    <mergeCell ref="H24:H26"/>
    <mergeCell ref="H27:H29"/>
    <mergeCell ref="H30:H32"/>
    <mergeCell ref="H33:H35"/>
    <mergeCell ref="H36:H38"/>
    <mergeCell ref="H39:H41"/>
    <mergeCell ref="H42:H44"/>
    <mergeCell ref="H45:H51"/>
    <mergeCell ref="H52:H57"/>
    <mergeCell ref="H58:H63"/>
    <mergeCell ref="H64:H66"/>
    <mergeCell ref="H67:H70"/>
    <mergeCell ref="H71:H74"/>
    <mergeCell ref="H75:H80"/>
    <mergeCell ref="H81:H83"/>
    <mergeCell ref="F87:F89"/>
    <mergeCell ref="F90:F92"/>
    <mergeCell ref="F93:F95"/>
    <mergeCell ref="F96:F98"/>
    <mergeCell ref="F99:F101"/>
    <mergeCell ref="F102:F104"/>
    <mergeCell ref="F105:F107"/>
    <mergeCell ref="F108:F110"/>
    <mergeCell ref="F111:F113"/>
    <mergeCell ref="E114:E116"/>
    <mergeCell ref="F2:F3"/>
    <mergeCell ref="F4:F6"/>
    <mergeCell ref="F7:F9"/>
    <mergeCell ref="F10:F12"/>
    <mergeCell ref="F13:F15"/>
    <mergeCell ref="F16:F18"/>
    <mergeCell ref="F19:F23"/>
    <mergeCell ref="F24:F26"/>
    <mergeCell ref="F27:F29"/>
    <mergeCell ref="F30:F32"/>
    <mergeCell ref="F33:F35"/>
    <mergeCell ref="F36:F38"/>
    <mergeCell ref="F39:F41"/>
    <mergeCell ref="F42:F44"/>
    <mergeCell ref="F45:F51"/>
    <mergeCell ref="F52:F57"/>
    <mergeCell ref="F58:F63"/>
    <mergeCell ref="F64:F66"/>
    <mergeCell ref="F67:F70"/>
    <mergeCell ref="F71:F74"/>
    <mergeCell ref="F75:F80"/>
    <mergeCell ref="F81:F83"/>
    <mergeCell ref="F84:F86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3"/>
    <mergeCell ref="D111:D113"/>
    <mergeCell ref="D114:D116"/>
    <mergeCell ref="E4:E6"/>
    <mergeCell ref="E7:E9"/>
    <mergeCell ref="E10:E12"/>
    <mergeCell ref="E13:E15"/>
    <mergeCell ref="E16:E18"/>
    <mergeCell ref="E19:E23"/>
    <mergeCell ref="E24:E26"/>
    <mergeCell ref="E27:E29"/>
    <mergeCell ref="E30:E32"/>
    <mergeCell ref="E33:E35"/>
    <mergeCell ref="E36:E38"/>
    <mergeCell ref="E39:E41"/>
    <mergeCell ref="E42:E44"/>
    <mergeCell ref="E45:E51"/>
    <mergeCell ref="E52:E57"/>
    <mergeCell ref="E58:E63"/>
    <mergeCell ref="E64:E66"/>
    <mergeCell ref="E67:E70"/>
    <mergeCell ref="E71:E74"/>
    <mergeCell ref="E75:E80"/>
    <mergeCell ref="E81:E83"/>
    <mergeCell ref="E84:E86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D42:D44"/>
    <mergeCell ref="D45:D51"/>
    <mergeCell ref="D52:D57"/>
    <mergeCell ref="D58:D63"/>
    <mergeCell ref="D64:D66"/>
    <mergeCell ref="D67:D70"/>
    <mergeCell ref="D71:D74"/>
    <mergeCell ref="D75:D80"/>
    <mergeCell ref="D81:D83"/>
    <mergeCell ref="D13:D15"/>
    <mergeCell ref="D16:D18"/>
    <mergeCell ref="D19:D23"/>
    <mergeCell ref="D24:D26"/>
    <mergeCell ref="D27:D29"/>
    <mergeCell ref="D30:D32"/>
    <mergeCell ref="D33:D35"/>
    <mergeCell ref="D36:D38"/>
    <mergeCell ref="D39:D41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52:C57"/>
    <mergeCell ref="C58:C63"/>
    <mergeCell ref="C64:C66"/>
    <mergeCell ref="C67:C70"/>
    <mergeCell ref="C71:C74"/>
    <mergeCell ref="C75:C80"/>
    <mergeCell ref="C81:C83"/>
    <mergeCell ref="C84:C86"/>
    <mergeCell ref="C87:C89"/>
    <mergeCell ref="C19:C23"/>
    <mergeCell ref="C24:C26"/>
    <mergeCell ref="C27:C29"/>
    <mergeCell ref="C30:C32"/>
    <mergeCell ref="C33:C35"/>
    <mergeCell ref="C36:C38"/>
    <mergeCell ref="C39:C41"/>
    <mergeCell ref="C42:C44"/>
    <mergeCell ref="C45:C51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52:B57"/>
    <mergeCell ref="B58:B63"/>
    <mergeCell ref="B64:B66"/>
    <mergeCell ref="B67:B70"/>
    <mergeCell ref="B71:B74"/>
    <mergeCell ref="B75:B80"/>
    <mergeCell ref="B81:B83"/>
    <mergeCell ref="B84:B86"/>
    <mergeCell ref="B87:B89"/>
    <mergeCell ref="B19:B23"/>
    <mergeCell ref="B24:B26"/>
    <mergeCell ref="B27:B29"/>
    <mergeCell ref="B30:B32"/>
    <mergeCell ref="B33:B35"/>
    <mergeCell ref="B36:B38"/>
    <mergeCell ref="B39:B41"/>
    <mergeCell ref="B42:B44"/>
    <mergeCell ref="B45:B51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52:A57"/>
    <mergeCell ref="A58:A63"/>
    <mergeCell ref="A64:A66"/>
    <mergeCell ref="A67:A70"/>
    <mergeCell ref="A71:A74"/>
    <mergeCell ref="A75:A80"/>
    <mergeCell ref="A81:A83"/>
    <mergeCell ref="A84:A86"/>
    <mergeCell ref="A87:A89"/>
    <mergeCell ref="A19:A23"/>
    <mergeCell ref="A24:A26"/>
    <mergeCell ref="A27:A29"/>
    <mergeCell ref="A30:A32"/>
    <mergeCell ref="A33:A35"/>
    <mergeCell ref="A36:A38"/>
    <mergeCell ref="A39:A41"/>
    <mergeCell ref="A42:A44"/>
    <mergeCell ref="A45:A51"/>
    <mergeCell ref="A1:M1"/>
    <mergeCell ref="D2:E2"/>
    <mergeCell ref="J2:K2"/>
    <mergeCell ref="A2:A3"/>
    <mergeCell ref="A4:A6"/>
    <mergeCell ref="A7:A9"/>
    <mergeCell ref="A10:A12"/>
    <mergeCell ref="A13:A15"/>
    <mergeCell ref="A16:A18"/>
    <mergeCell ref="B2:B3"/>
    <mergeCell ref="B4:B6"/>
    <mergeCell ref="B7:B9"/>
    <mergeCell ref="B10:B12"/>
    <mergeCell ref="B13:B15"/>
    <mergeCell ref="B16:B18"/>
    <mergeCell ref="C2:C3"/>
    <mergeCell ref="C4:C6"/>
    <mergeCell ref="C7:C9"/>
    <mergeCell ref="C10:C12"/>
    <mergeCell ref="C13:C15"/>
    <mergeCell ref="C16:C18"/>
    <mergeCell ref="D4:D6"/>
    <mergeCell ref="D7:D9"/>
    <mergeCell ref="D10:D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"/>
  <dimension ref="A1:J106"/>
  <sheetViews>
    <sheetView workbookViewId="0">
      <selection activeCell="N8" sqref="N8"/>
    </sheetView>
  </sheetViews>
  <sheetFormatPr baseColWidth="10" defaultColWidth="9.1640625" defaultRowHeight="15" x14ac:dyDescent="0.2"/>
  <cols>
    <col min="1" max="1" width="6.6640625" customWidth="1"/>
    <col min="2" max="2" width="43.1640625" style="1" customWidth="1"/>
    <col min="3" max="3" width="3.33203125" customWidth="1"/>
    <col min="4" max="4" width="3.6640625" customWidth="1"/>
    <col min="5" max="5" width="6.6640625" customWidth="1"/>
    <col min="6" max="6" width="7.5" customWidth="1"/>
    <col min="7" max="7" width="9.6640625" customWidth="1"/>
    <col min="8" max="8" width="24.5" style="1" customWidth="1"/>
    <col min="9" max="9" width="15.33203125" customWidth="1"/>
    <col min="10" max="10" width="15.1640625" customWidth="1"/>
  </cols>
  <sheetData>
    <row r="1" spans="1:10" ht="17" x14ac:dyDescent="0.2">
      <c r="A1" s="783" t="s">
        <v>159</v>
      </c>
      <c r="B1" s="809" t="s">
        <v>95</v>
      </c>
      <c r="C1" s="780" t="s">
        <v>52</v>
      </c>
      <c r="D1" s="780"/>
      <c r="E1" s="780" t="s">
        <v>160</v>
      </c>
      <c r="F1" s="780" t="s">
        <v>118</v>
      </c>
      <c r="G1" s="780" t="s">
        <v>161</v>
      </c>
      <c r="H1" s="821" t="s">
        <v>162</v>
      </c>
      <c r="I1" s="781" t="s">
        <v>115</v>
      </c>
      <c r="J1" s="782"/>
    </row>
    <row r="2" spans="1:10" ht="17" x14ac:dyDescent="0.2">
      <c r="A2" s="784"/>
      <c r="B2" s="810"/>
      <c r="C2" s="14" t="s">
        <v>5</v>
      </c>
      <c r="D2" s="14" t="s">
        <v>4</v>
      </c>
      <c r="E2" s="817"/>
      <c r="F2" s="817"/>
      <c r="G2" s="817"/>
      <c r="H2" s="822"/>
      <c r="I2" s="53" t="s">
        <v>13</v>
      </c>
      <c r="J2" s="54" t="s">
        <v>59</v>
      </c>
    </row>
    <row r="3" spans="1:10" ht="18" x14ac:dyDescent="0.2">
      <c r="A3" s="15"/>
      <c r="B3" s="16" t="s">
        <v>163</v>
      </c>
      <c r="C3" s="790">
        <v>6</v>
      </c>
      <c r="D3" s="790">
        <v>6</v>
      </c>
      <c r="E3" s="790">
        <v>7</v>
      </c>
      <c r="G3" s="790">
        <v>0</v>
      </c>
    </row>
    <row r="4" spans="1:10" ht="17" x14ac:dyDescent="0.2">
      <c r="A4" s="17">
        <v>1</v>
      </c>
      <c r="B4" s="18">
        <v>1</v>
      </c>
      <c r="C4" s="791"/>
      <c r="D4" s="791"/>
      <c r="E4" s="791"/>
      <c r="F4" s="19">
        <v>1</v>
      </c>
      <c r="G4" s="791"/>
      <c r="H4" s="20" t="s">
        <v>164</v>
      </c>
      <c r="I4" s="55" t="s">
        <v>165</v>
      </c>
      <c r="J4" s="55" t="s">
        <v>166</v>
      </c>
    </row>
    <row r="5" spans="1:10" ht="18" x14ac:dyDescent="0.2">
      <c r="A5" s="17">
        <v>2</v>
      </c>
      <c r="B5" s="18"/>
      <c r="C5" s="791"/>
      <c r="D5" s="791"/>
      <c r="E5" s="791"/>
      <c r="F5" s="21">
        <v>2</v>
      </c>
      <c r="G5" s="791"/>
      <c r="H5" s="22" t="s">
        <v>167</v>
      </c>
      <c r="I5" s="56" t="s">
        <v>168</v>
      </c>
      <c r="J5" s="57" t="s">
        <v>169</v>
      </c>
    </row>
    <row r="6" spans="1:10" ht="18" x14ac:dyDescent="0.2">
      <c r="A6" s="17">
        <v>3</v>
      </c>
      <c r="B6" s="18"/>
      <c r="C6" s="791"/>
      <c r="D6" s="791"/>
      <c r="E6" s="791"/>
      <c r="F6" s="21">
        <v>3</v>
      </c>
      <c r="G6" s="791"/>
      <c r="H6" s="22" t="s">
        <v>170</v>
      </c>
      <c r="I6" s="58" t="s">
        <v>171</v>
      </c>
      <c r="J6" s="59" t="s">
        <v>172</v>
      </c>
    </row>
    <row r="7" spans="1:10" ht="18" x14ac:dyDescent="0.2">
      <c r="A7" s="17">
        <v>4</v>
      </c>
      <c r="B7" s="18"/>
      <c r="C7" s="791"/>
      <c r="D7" s="791"/>
      <c r="E7" s="791"/>
      <c r="F7" s="21">
        <v>1</v>
      </c>
      <c r="G7" s="791"/>
      <c r="H7" s="22" t="s">
        <v>173</v>
      </c>
      <c r="I7" s="55" t="s">
        <v>174</v>
      </c>
      <c r="J7" s="60" t="s">
        <v>175</v>
      </c>
    </row>
    <row r="8" spans="1:10" ht="17" x14ac:dyDescent="0.2">
      <c r="A8" s="17">
        <v>5</v>
      </c>
      <c r="B8" s="18"/>
      <c r="C8" s="791"/>
      <c r="D8" s="791"/>
      <c r="E8" s="791"/>
      <c r="F8" s="23"/>
      <c r="G8" s="791"/>
      <c r="H8" s="22"/>
      <c r="I8" s="61"/>
      <c r="J8" s="62"/>
    </row>
    <row r="9" spans="1:10" ht="17" x14ac:dyDescent="0.2">
      <c r="A9" s="17">
        <v>6</v>
      </c>
      <c r="B9" s="18"/>
      <c r="C9" s="791"/>
      <c r="D9" s="791"/>
      <c r="E9" s="791"/>
      <c r="F9" s="23"/>
      <c r="G9" s="791"/>
      <c r="H9" s="22"/>
      <c r="I9" s="63"/>
      <c r="J9" s="64"/>
    </row>
    <row r="10" spans="1:10" ht="17" x14ac:dyDescent="0.2">
      <c r="A10" s="24"/>
      <c r="B10" s="25"/>
      <c r="C10" s="792"/>
      <c r="D10" s="792"/>
      <c r="E10" s="792"/>
      <c r="F10" s="26"/>
      <c r="G10" s="792"/>
      <c r="H10" s="27"/>
      <c r="I10" s="65"/>
      <c r="J10" s="66"/>
    </row>
    <row r="11" spans="1:10" ht="16.5" customHeight="1" x14ac:dyDescent="0.2">
      <c r="A11" s="785">
        <v>2</v>
      </c>
      <c r="B11" s="16" t="s">
        <v>176</v>
      </c>
      <c r="C11" s="790">
        <v>6</v>
      </c>
      <c r="D11" s="790">
        <v>6</v>
      </c>
      <c r="E11" s="790">
        <v>4</v>
      </c>
      <c r="G11" s="790">
        <v>2</v>
      </c>
    </row>
    <row r="12" spans="1:10" ht="17" x14ac:dyDescent="0.2">
      <c r="A12" s="786"/>
      <c r="B12" s="18"/>
      <c r="C12" s="791"/>
      <c r="D12" s="791"/>
      <c r="E12" s="791"/>
      <c r="F12" s="19">
        <v>1</v>
      </c>
      <c r="G12" s="791"/>
      <c r="H12" s="20" t="s">
        <v>177</v>
      </c>
      <c r="I12" s="67" t="s">
        <v>171</v>
      </c>
      <c r="J12" s="68" t="s">
        <v>172</v>
      </c>
    </row>
    <row r="13" spans="1:10" ht="17" x14ac:dyDescent="0.2">
      <c r="A13" s="786"/>
      <c r="B13" s="18"/>
      <c r="C13" s="791"/>
      <c r="D13" s="791"/>
      <c r="E13" s="791"/>
      <c r="F13" s="21">
        <v>1</v>
      </c>
      <c r="G13" s="791"/>
      <c r="H13" s="20" t="s">
        <v>178</v>
      </c>
      <c r="I13" s="55" t="s">
        <v>165</v>
      </c>
      <c r="J13" s="55" t="s">
        <v>166</v>
      </c>
    </row>
    <row r="14" spans="1:10" ht="18" x14ac:dyDescent="0.2">
      <c r="A14" s="787"/>
      <c r="B14" s="18"/>
      <c r="C14" s="793"/>
      <c r="D14" s="793"/>
      <c r="E14" s="793"/>
      <c r="F14" s="21">
        <v>1</v>
      </c>
      <c r="G14" s="793"/>
      <c r="H14" s="28" t="s">
        <v>167</v>
      </c>
      <c r="I14" s="69" t="s">
        <v>179</v>
      </c>
      <c r="J14" s="69" t="s">
        <v>169</v>
      </c>
    </row>
    <row r="15" spans="1:10" ht="18" x14ac:dyDescent="0.2">
      <c r="A15" s="788"/>
      <c r="B15" s="25"/>
      <c r="C15" s="792"/>
      <c r="D15" s="792"/>
      <c r="E15" s="792"/>
      <c r="F15" s="29">
        <v>1</v>
      </c>
      <c r="G15" s="792"/>
      <c r="H15" s="27" t="s">
        <v>164</v>
      </c>
      <c r="I15" s="60" t="s">
        <v>165</v>
      </c>
      <c r="J15" s="60" t="s">
        <v>180</v>
      </c>
    </row>
    <row r="16" spans="1:10" ht="17.25" customHeight="1" x14ac:dyDescent="0.2">
      <c r="A16" s="785">
        <v>3</v>
      </c>
      <c r="B16" s="16" t="s">
        <v>181</v>
      </c>
      <c r="C16" s="790">
        <v>6</v>
      </c>
      <c r="D16" s="790">
        <v>6</v>
      </c>
      <c r="E16" s="790">
        <v>4</v>
      </c>
      <c r="F16" s="19"/>
      <c r="G16" s="790">
        <v>4</v>
      </c>
      <c r="H16" s="30"/>
      <c r="I16" s="70"/>
      <c r="J16" s="71"/>
    </row>
    <row r="17" spans="1:10" ht="17.25" customHeight="1" x14ac:dyDescent="0.2">
      <c r="A17" s="789"/>
      <c r="B17" s="31"/>
      <c r="C17" s="794"/>
      <c r="D17" s="794"/>
      <c r="E17" s="794"/>
      <c r="F17" s="32"/>
      <c r="G17" s="794"/>
      <c r="H17" s="33"/>
      <c r="I17" s="70"/>
      <c r="J17" s="71"/>
    </row>
    <row r="18" spans="1:10" ht="17.25" customHeight="1" x14ac:dyDescent="0.2">
      <c r="A18" s="789"/>
      <c r="B18" s="31"/>
      <c r="C18" s="794"/>
      <c r="D18" s="794"/>
      <c r="E18" s="794"/>
      <c r="F18" s="32"/>
      <c r="G18" s="794"/>
      <c r="H18" s="33"/>
      <c r="I18" s="70"/>
      <c r="J18" s="71"/>
    </row>
    <row r="19" spans="1:10" ht="17.25" customHeight="1" x14ac:dyDescent="0.2">
      <c r="A19" s="789"/>
      <c r="B19" s="31"/>
      <c r="C19" s="794"/>
      <c r="D19" s="794"/>
      <c r="E19" s="794"/>
      <c r="F19" s="32"/>
      <c r="G19" s="794"/>
      <c r="H19" s="33"/>
      <c r="I19" s="70"/>
      <c r="J19" s="71"/>
    </row>
    <row r="20" spans="1:10" ht="17" x14ac:dyDescent="0.2">
      <c r="A20" s="788"/>
      <c r="B20" s="25"/>
      <c r="C20" s="792"/>
      <c r="D20" s="792"/>
      <c r="E20" s="792"/>
      <c r="F20" s="29"/>
      <c r="G20" s="792"/>
      <c r="H20" s="27"/>
      <c r="I20" s="72"/>
      <c r="J20" s="73"/>
    </row>
    <row r="21" spans="1:10" ht="16.5" customHeight="1" x14ac:dyDescent="0.2">
      <c r="A21" s="785">
        <v>4</v>
      </c>
      <c r="B21" s="34" t="s">
        <v>182</v>
      </c>
      <c r="C21" s="790">
        <v>6</v>
      </c>
      <c r="D21" s="790">
        <v>6</v>
      </c>
      <c r="E21" s="790">
        <v>1</v>
      </c>
      <c r="F21" s="19"/>
      <c r="G21" s="818">
        <v>1</v>
      </c>
      <c r="H21" s="30"/>
      <c r="I21" s="74"/>
      <c r="J21" s="75"/>
    </row>
    <row r="22" spans="1:10" ht="17" x14ac:dyDescent="0.2">
      <c r="A22" s="786"/>
      <c r="B22" s="35"/>
      <c r="C22" s="791"/>
      <c r="D22" s="791"/>
      <c r="E22" s="791"/>
      <c r="F22" s="21"/>
      <c r="G22" s="819"/>
      <c r="H22" s="22"/>
      <c r="I22" s="61"/>
      <c r="J22" s="76"/>
    </row>
    <row r="23" spans="1:10" ht="17" x14ac:dyDescent="0.2">
      <c r="A23" s="788"/>
      <c r="B23" s="36"/>
      <c r="C23" s="792"/>
      <c r="D23" s="792"/>
      <c r="E23" s="792"/>
      <c r="F23" s="29"/>
      <c r="G23" s="820"/>
      <c r="H23" s="27"/>
      <c r="I23" s="65"/>
      <c r="J23" s="66"/>
    </row>
    <row r="24" spans="1:10" ht="17" x14ac:dyDescent="0.2">
      <c r="A24" s="785">
        <v>5</v>
      </c>
      <c r="B24" s="37" t="s">
        <v>183</v>
      </c>
      <c r="C24" s="790">
        <v>6</v>
      </c>
      <c r="D24" s="790">
        <v>6</v>
      </c>
      <c r="E24" s="790">
        <v>2</v>
      </c>
      <c r="F24" s="19"/>
      <c r="G24" s="790">
        <v>2</v>
      </c>
      <c r="H24" s="30"/>
      <c r="I24" s="74"/>
      <c r="J24" s="75"/>
    </row>
    <row r="25" spans="1:10" ht="17" x14ac:dyDescent="0.2">
      <c r="A25" s="786"/>
      <c r="B25" s="38"/>
      <c r="C25" s="791"/>
      <c r="D25" s="791"/>
      <c r="E25" s="791"/>
      <c r="F25" s="21"/>
      <c r="G25" s="791"/>
      <c r="H25" s="22"/>
      <c r="I25" s="61"/>
      <c r="J25" s="76"/>
    </row>
    <row r="26" spans="1:10" ht="17" x14ac:dyDescent="0.2">
      <c r="A26" s="786"/>
      <c r="B26" s="38"/>
      <c r="C26" s="791"/>
      <c r="D26" s="791"/>
      <c r="E26" s="791"/>
      <c r="F26" s="21"/>
      <c r="G26" s="791"/>
      <c r="H26" s="22"/>
      <c r="I26" s="61"/>
      <c r="J26" s="62"/>
    </row>
    <row r="27" spans="1:10" ht="16.5" customHeight="1" x14ac:dyDescent="0.2">
      <c r="A27" s="785">
        <v>6</v>
      </c>
      <c r="B27" s="16" t="s">
        <v>136</v>
      </c>
      <c r="C27" s="790">
        <v>6</v>
      </c>
      <c r="D27" s="790">
        <v>6</v>
      </c>
      <c r="E27" s="790">
        <v>2</v>
      </c>
      <c r="F27" s="19"/>
      <c r="G27" s="790">
        <v>2</v>
      </c>
      <c r="H27" s="30"/>
      <c r="I27" s="74"/>
      <c r="J27" s="75"/>
    </row>
    <row r="28" spans="1:10" ht="16.5" customHeight="1" x14ac:dyDescent="0.2">
      <c r="A28" s="789"/>
      <c r="B28" s="18"/>
      <c r="C28" s="794"/>
      <c r="D28" s="794"/>
      <c r="E28" s="794"/>
      <c r="F28" s="32"/>
      <c r="G28" s="794"/>
      <c r="H28" s="33"/>
      <c r="I28" s="77"/>
      <c r="J28" s="78"/>
    </row>
    <row r="29" spans="1:10" ht="17" x14ac:dyDescent="0.2">
      <c r="A29" s="788"/>
      <c r="B29" s="25"/>
      <c r="C29" s="792"/>
      <c r="D29" s="792"/>
      <c r="E29" s="792"/>
      <c r="F29" s="29"/>
      <c r="G29" s="792"/>
      <c r="H29" s="27"/>
      <c r="I29" s="65"/>
      <c r="J29" s="66"/>
    </row>
    <row r="30" spans="1:10" ht="16.5" customHeight="1" x14ac:dyDescent="0.2">
      <c r="A30" s="785">
        <v>7</v>
      </c>
      <c r="B30" s="16" t="s">
        <v>137</v>
      </c>
      <c r="C30" s="790">
        <v>6</v>
      </c>
      <c r="D30" s="790">
        <v>6</v>
      </c>
      <c r="E30" s="790">
        <v>2</v>
      </c>
      <c r="F30" s="19"/>
      <c r="G30" s="790">
        <v>2</v>
      </c>
      <c r="H30" s="30"/>
      <c r="I30" s="74"/>
      <c r="J30" s="75"/>
    </row>
    <row r="31" spans="1:10" ht="16.5" customHeight="1" x14ac:dyDescent="0.2">
      <c r="A31" s="789"/>
      <c r="B31" s="18"/>
      <c r="C31" s="794"/>
      <c r="D31" s="794"/>
      <c r="E31" s="794"/>
      <c r="F31" s="32"/>
      <c r="G31" s="794"/>
      <c r="H31" s="33"/>
      <c r="I31" s="77"/>
      <c r="J31" s="78"/>
    </row>
    <row r="32" spans="1:10" ht="17" x14ac:dyDescent="0.2">
      <c r="A32" s="788"/>
      <c r="B32" s="25"/>
      <c r="C32" s="792"/>
      <c r="D32" s="792"/>
      <c r="E32" s="792"/>
      <c r="F32" s="29"/>
      <c r="G32" s="792"/>
      <c r="H32" s="27"/>
      <c r="I32" s="65"/>
      <c r="J32" s="66"/>
    </row>
    <row r="33" spans="1:10" ht="18" x14ac:dyDescent="0.2">
      <c r="A33" s="795">
        <v>8</v>
      </c>
      <c r="B33" s="39" t="s">
        <v>184</v>
      </c>
      <c r="C33" s="40">
        <v>6</v>
      </c>
      <c r="D33" s="40">
        <v>6</v>
      </c>
      <c r="E33" s="40">
        <v>1</v>
      </c>
      <c r="F33" s="41"/>
      <c r="G33" s="40">
        <v>1</v>
      </c>
      <c r="H33" s="42"/>
      <c r="I33" s="79"/>
      <c r="J33" s="80"/>
    </row>
    <row r="34" spans="1:10" x14ac:dyDescent="0.2">
      <c r="A34" s="796"/>
      <c r="B34" s="43"/>
      <c r="C34" s="43"/>
      <c r="D34" s="43"/>
      <c r="E34" s="43"/>
      <c r="F34" s="43"/>
      <c r="G34" s="43"/>
      <c r="H34" s="43"/>
      <c r="I34" s="43"/>
      <c r="J34" s="43"/>
    </row>
    <row r="35" spans="1:10" s="13" customFormat="1" x14ac:dyDescent="0.2">
      <c r="A35" s="797">
        <v>9</v>
      </c>
      <c r="B35" s="44"/>
      <c r="C35" s="44"/>
      <c r="D35" s="44"/>
      <c r="E35" s="44"/>
      <c r="F35" s="44"/>
      <c r="G35" s="44"/>
      <c r="H35" s="44"/>
      <c r="I35" s="44"/>
      <c r="J35" s="81"/>
    </row>
    <row r="36" spans="1:10" s="13" customFormat="1" ht="18" x14ac:dyDescent="0.2">
      <c r="A36" s="798"/>
      <c r="B36" s="45" t="s">
        <v>185</v>
      </c>
      <c r="C36" s="46">
        <v>6</v>
      </c>
      <c r="D36" s="46">
        <v>6</v>
      </c>
      <c r="E36" s="46">
        <v>0</v>
      </c>
      <c r="F36" s="47">
        <v>1</v>
      </c>
      <c r="G36" s="46">
        <v>0</v>
      </c>
      <c r="H36" s="48" t="s">
        <v>186</v>
      </c>
      <c r="I36" s="82"/>
      <c r="J36" s="83"/>
    </row>
    <row r="37" spans="1:10" ht="18" x14ac:dyDescent="0.2">
      <c r="A37" s="795">
        <v>10</v>
      </c>
      <c r="B37" s="34" t="s">
        <v>187</v>
      </c>
      <c r="C37" s="814">
        <v>6</v>
      </c>
      <c r="D37" s="814">
        <v>6</v>
      </c>
      <c r="E37" s="814">
        <v>12</v>
      </c>
      <c r="F37" s="19">
        <v>4</v>
      </c>
      <c r="G37" s="814">
        <v>0</v>
      </c>
      <c r="H37" s="20" t="s">
        <v>164</v>
      </c>
      <c r="I37" s="55" t="s">
        <v>165</v>
      </c>
      <c r="J37" s="55" t="s">
        <v>166</v>
      </c>
    </row>
    <row r="38" spans="1:10" ht="18" x14ac:dyDescent="0.2">
      <c r="A38" s="789"/>
      <c r="B38" s="35"/>
      <c r="C38" s="794"/>
      <c r="D38" s="794"/>
      <c r="E38" s="794"/>
      <c r="F38" s="21">
        <v>1</v>
      </c>
      <c r="G38" s="794"/>
      <c r="H38" s="22" t="s">
        <v>188</v>
      </c>
      <c r="I38" s="61" t="s">
        <v>165</v>
      </c>
      <c r="J38" s="62" t="s">
        <v>180</v>
      </c>
    </row>
    <row r="39" spans="1:10" ht="18" x14ac:dyDescent="0.2">
      <c r="A39" s="789"/>
      <c r="B39" s="35"/>
      <c r="C39" s="794"/>
      <c r="D39" s="794"/>
      <c r="E39" s="794"/>
      <c r="F39" s="21">
        <v>2</v>
      </c>
      <c r="G39" s="794"/>
      <c r="H39" s="22" t="s">
        <v>189</v>
      </c>
      <c r="I39" s="60" t="s">
        <v>165</v>
      </c>
      <c r="J39" s="60" t="s">
        <v>180</v>
      </c>
    </row>
    <row r="40" spans="1:10" ht="18" x14ac:dyDescent="0.2">
      <c r="A40" s="789"/>
      <c r="B40" s="35"/>
      <c r="C40" s="794"/>
      <c r="D40" s="794"/>
      <c r="E40" s="794"/>
      <c r="F40" s="21">
        <v>1</v>
      </c>
      <c r="G40" s="794"/>
      <c r="H40" s="28" t="s">
        <v>190</v>
      </c>
      <c r="I40" s="84" t="s">
        <v>191</v>
      </c>
      <c r="J40" s="84" t="s">
        <v>192</v>
      </c>
    </row>
    <row r="41" spans="1:10" ht="18" x14ac:dyDescent="0.2">
      <c r="A41" s="789"/>
      <c r="B41" s="35"/>
      <c r="C41" s="794"/>
      <c r="D41" s="794"/>
      <c r="E41" s="794"/>
      <c r="F41" s="21">
        <v>1</v>
      </c>
      <c r="G41" s="794"/>
      <c r="H41" s="22" t="s">
        <v>193</v>
      </c>
      <c r="I41" s="61" t="s">
        <v>165</v>
      </c>
      <c r="J41" s="62" t="s">
        <v>180</v>
      </c>
    </row>
    <row r="42" spans="1:10" ht="18" x14ac:dyDescent="0.2">
      <c r="A42" s="789"/>
      <c r="B42" s="35"/>
      <c r="C42" s="794"/>
      <c r="D42" s="794"/>
      <c r="E42" s="794"/>
      <c r="F42" s="21">
        <v>1</v>
      </c>
      <c r="G42" s="794"/>
      <c r="H42" s="28" t="s">
        <v>194</v>
      </c>
      <c r="I42" s="85" t="s">
        <v>195</v>
      </c>
      <c r="J42" s="86" t="s">
        <v>196</v>
      </c>
    </row>
    <row r="43" spans="1:10" ht="18" x14ac:dyDescent="0.2">
      <c r="A43" s="789"/>
      <c r="B43" s="35"/>
      <c r="C43" s="794"/>
      <c r="D43" s="794"/>
      <c r="E43" s="794"/>
      <c r="F43" s="23">
        <v>1</v>
      </c>
      <c r="G43" s="794"/>
      <c r="H43" s="22" t="s">
        <v>197</v>
      </c>
      <c r="I43" s="63"/>
      <c r="J43" s="64"/>
    </row>
    <row r="44" spans="1:10" ht="17" x14ac:dyDescent="0.2">
      <c r="A44" s="789"/>
      <c r="B44" s="35"/>
      <c r="C44" s="794"/>
      <c r="D44" s="794"/>
      <c r="E44" s="794"/>
      <c r="F44" s="23">
        <v>1</v>
      </c>
      <c r="G44" s="794"/>
      <c r="H44" s="22"/>
      <c r="I44" s="55"/>
      <c r="J44" s="55"/>
    </row>
    <row r="45" spans="1:10" ht="17" x14ac:dyDescent="0.2">
      <c r="A45" s="789"/>
      <c r="B45" s="35"/>
      <c r="C45" s="794"/>
      <c r="D45" s="794"/>
      <c r="E45" s="794"/>
      <c r="F45" s="23"/>
      <c r="G45" s="794"/>
      <c r="H45" s="22"/>
      <c r="I45" s="87"/>
      <c r="J45" s="88"/>
    </row>
    <row r="46" spans="1:10" ht="17" x14ac:dyDescent="0.2">
      <c r="A46" s="789"/>
      <c r="B46" s="35"/>
      <c r="C46" s="794"/>
      <c r="D46" s="794"/>
      <c r="E46" s="794"/>
      <c r="F46" s="49"/>
      <c r="G46" s="794"/>
      <c r="H46" s="50"/>
      <c r="I46" s="89"/>
      <c r="J46" s="90"/>
    </row>
    <row r="47" spans="1:10" ht="17" x14ac:dyDescent="0.2">
      <c r="A47" s="789"/>
      <c r="B47" s="35"/>
      <c r="C47" s="794"/>
      <c r="D47" s="794"/>
      <c r="E47" s="794"/>
      <c r="F47" s="49"/>
      <c r="G47" s="794"/>
      <c r="H47" s="50"/>
      <c r="I47" s="89"/>
      <c r="J47" s="90"/>
    </row>
    <row r="48" spans="1:10" ht="17" x14ac:dyDescent="0.2">
      <c r="A48" s="789"/>
      <c r="B48" s="35"/>
      <c r="C48" s="794"/>
      <c r="D48" s="794"/>
      <c r="E48" s="794"/>
      <c r="F48" s="49"/>
      <c r="G48" s="794"/>
      <c r="H48" s="50"/>
      <c r="I48" s="89"/>
      <c r="J48" s="90"/>
    </row>
    <row r="49" spans="1:10" ht="17" x14ac:dyDescent="0.2">
      <c r="A49" s="796"/>
      <c r="B49" s="36"/>
      <c r="C49" s="815"/>
      <c r="D49" s="815"/>
      <c r="E49" s="815"/>
      <c r="F49" s="26"/>
      <c r="G49" s="815"/>
      <c r="H49" s="27"/>
      <c r="I49" s="91"/>
      <c r="J49" s="92"/>
    </row>
    <row r="50" spans="1:10" ht="18" x14ac:dyDescent="0.2">
      <c r="A50" s="785">
        <v>11</v>
      </c>
      <c r="B50" s="16" t="s">
        <v>198</v>
      </c>
      <c r="C50" s="790">
        <v>6</v>
      </c>
      <c r="D50" s="790">
        <v>6</v>
      </c>
      <c r="E50" s="790">
        <v>4</v>
      </c>
      <c r="F50" s="19">
        <v>1</v>
      </c>
      <c r="G50" s="818">
        <v>0</v>
      </c>
      <c r="H50" s="51" t="s">
        <v>199</v>
      </c>
      <c r="I50" s="93" t="s">
        <v>179</v>
      </c>
      <c r="J50" s="94" t="s">
        <v>169</v>
      </c>
    </row>
    <row r="51" spans="1:10" ht="18" x14ac:dyDescent="0.2">
      <c r="A51" s="786"/>
      <c r="B51" s="18"/>
      <c r="C51" s="791"/>
      <c r="D51" s="791"/>
      <c r="E51" s="791"/>
      <c r="F51" s="21">
        <v>1</v>
      </c>
      <c r="G51" s="819"/>
      <c r="H51" s="22" t="s">
        <v>200</v>
      </c>
      <c r="I51" s="55" t="s">
        <v>201</v>
      </c>
      <c r="J51" s="55" t="s">
        <v>202</v>
      </c>
    </row>
    <row r="52" spans="1:10" ht="18" x14ac:dyDescent="0.2">
      <c r="A52" s="786"/>
      <c r="B52" s="18"/>
      <c r="C52" s="791"/>
      <c r="D52" s="791"/>
      <c r="E52" s="791"/>
      <c r="F52" s="21">
        <v>1</v>
      </c>
      <c r="G52" s="819"/>
      <c r="H52" s="22" t="s">
        <v>203</v>
      </c>
      <c r="I52" s="95" t="s">
        <v>196</v>
      </c>
      <c r="J52" s="96" t="s">
        <v>204</v>
      </c>
    </row>
    <row r="53" spans="1:10" ht="18" x14ac:dyDescent="0.2">
      <c r="A53" s="786"/>
      <c r="B53" s="18"/>
      <c r="C53" s="791"/>
      <c r="D53" s="791"/>
      <c r="E53" s="791"/>
      <c r="F53" s="21">
        <v>1</v>
      </c>
      <c r="G53" s="819"/>
      <c r="H53" s="28" t="s">
        <v>205</v>
      </c>
      <c r="I53" s="97" t="s">
        <v>191</v>
      </c>
      <c r="J53" s="98" t="s">
        <v>192</v>
      </c>
    </row>
    <row r="54" spans="1:10" ht="17" x14ac:dyDescent="0.2">
      <c r="A54" s="786"/>
      <c r="B54" s="18"/>
      <c r="C54" s="791"/>
      <c r="D54" s="791"/>
      <c r="E54" s="791"/>
      <c r="F54" s="21"/>
      <c r="G54" s="819"/>
      <c r="H54" s="22"/>
      <c r="I54" s="61"/>
      <c r="J54" s="62"/>
    </row>
    <row r="55" spans="1:10" ht="17" x14ac:dyDescent="0.2">
      <c r="A55" s="788"/>
      <c r="B55" s="25"/>
      <c r="C55" s="792"/>
      <c r="D55" s="792"/>
      <c r="E55" s="792"/>
      <c r="F55" s="29"/>
      <c r="G55" s="820"/>
      <c r="H55" s="27"/>
      <c r="I55" s="65"/>
      <c r="J55" s="66"/>
    </row>
    <row r="56" spans="1:10" ht="18" x14ac:dyDescent="0.2">
      <c r="A56" s="785">
        <v>12</v>
      </c>
      <c r="B56" s="16" t="s">
        <v>206</v>
      </c>
      <c r="C56" s="790">
        <v>6</v>
      </c>
      <c r="D56" s="790">
        <v>6</v>
      </c>
      <c r="E56" s="790">
        <v>2</v>
      </c>
      <c r="F56" s="19"/>
      <c r="G56" s="790">
        <v>1</v>
      </c>
      <c r="H56" s="30"/>
      <c r="I56" s="74"/>
      <c r="J56" s="75"/>
    </row>
    <row r="57" spans="1:10" ht="18" x14ac:dyDescent="0.2">
      <c r="A57" s="786"/>
      <c r="B57" s="18"/>
      <c r="C57" s="791"/>
      <c r="D57" s="791"/>
      <c r="E57" s="791"/>
      <c r="F57" s="21">
        <v>1</v>
      </c>
      <c r="G57" s="791"/>
      <c r="H57" s="22" t="s">
        <v>207</v>
      </c>
      <c r="I57" s="61" t="s">
        <v>165</v>
      </c>
      <c r="J57" s="62" t="s">
        <v>180</v>
      </c>
    </row>
    <row r="58" spans="1:10" ht="17" x14ac:dyDescent="0.2">
      <c r="A58" s="786"/>
      <c r="B58" s="18"/>
      <c r="C58" s="791"/>
      <c r="D58" s="791"/>
      <c r="E58" s="791"/>
      <c r="F58" s="21"/>
      <c r="G58" s="791"/>
      <c r="H58" s="22"/>
      <c r="I58" s="99"/>
      <c r="J58" s="62"/>
    </row>
    <row r="59" spans="1:10" ht="17" x14ac:dyDescent="0.2">
      <c r="A59" s="786"/>
      <c r="B59" s="18"/>
      <c r="C59" s="791"/>
      <c r="D59" s="791"/>
      <c r="E59" s="791"/>
      <c r="F59" s="21"/>
      <c r="G59" s="791"/>
      <c r="H59" s="22"/>
      <c r="I59" s="61"/>
      <c r="J59" s="62"/>
    </row>
    <row r="60" spans="1:10" ht="17" x14ac:dyDescent="0.2">
      <c r="A60" s="788"/>
      <c r="B60" s="25"/>
      <c r="C60" s="792"/>
      <c r="D60" s="792"/>
      <c r="E60" s="792"/>
      <c r="F60" s="29"/>
      <c r="G60" s="792"/>
      <c r="H60" s="27"/>
      <c r="I60" s="65"/>
      <c r="J60" s="66"/>
    </row>
    <row r="61" spans="1:10" ht="16.5" customHeight="1" x14ac:dyDescent="0.2">
      <c r="A61" s="795">
        <v>13</v>
      </c>
      <c r="B61" s="16" t="s">
        <v>208</v>
      </c>
      <c r="C61" s="814">
        <v>6</v>
      </c>
      <c r="D61" s="814">
        <v>6</v>
      </c>
      <c r="E61" s="814">
        <v>4</v>
      </c>
      <c r="F61" s="19">
        <v>1</v>
      </c>
      <c r="G61" s="814">
        <v>2</v>
      </c>
      <c r="H61" s="30" t="s">
        <v>199</v>
      </c>
      <c r="I61" s="55" t="s">
        <v>209</v>
      </c>
      <c r="J61" s="55" t="s">
        <v>210</v>
      </c>
    </row>
    <row r="62" spans="1:10" ht="18" x14ac:dyDescent="0.2">
      <c r="A62" s="789"/>
      <c r="B62" s="18"/>
      <c r="C62" s="794"/>
      <c r="D62" s="794"/>
      <c r="E62" s="794"/>
      <c r="F62" s="21">
        <v>1</v>
      </c>
      <c r="G62" s="794"/>
      <c r="H62" s="22" t="s">
        <v>200</v>
      </c>
      <c r="I62" s="60" t="s">
        <v>201</v>
      </c>
      <c r="J62" s="60" t="s">
        <v>202</v>
      </c>
    </row>
    <row r="63" spans="1:10" ht="17" x14ac:dyDescent="0.2">
      <c r="A63" s="789"/>
      <c r="B63" s="18"/>
      <c r="C63" s="794"/>
      <c r="D63" s="794"/>
      <c r="E63" s="794"/>
      <c r="F63" s="52">
        <v>0</v>
      </c>
      <c r="G63" s="794"/>
      <c r="H63" s="50"/>
      <c r="I63" s="100"/>
      <c r="J63" s="101"/>
    </row>
    <row r="64" spans="1:10" ht="17" x14ac:dyDescent="0.2">
      <c r="A64" s="789"/>
      <c r="B64" s="18"/>
      <c r="C64" s="794"/>
      <c r="D64" s="794"/>
      <c r="E64" s="794"/>
      <c r="F64" s="52"/>
      <c r="G64" s="794"/>
      <c r="H64" s="50"/>
      <c r="I64" s="100"/>
      <c r="J64" s="102"/>
    </row>
    <row r="65" spans="1:10" ht="17" x14ac:dyDescent="0.2">
      <c r="A65" s="796"/>
      <c r="B65" s="25"/>
      <c r="C65" s="815"/>
      <c r="D65" s="815"/>
      <c r="E65" s="815"/>
      <c r="F65" s="29">
        <v>0</v>
      </c>
      <c r="G65" s="815"/>
      <c r="H65" s="27"/>
      <c r="I65" s="55"/>
      <c r="J65" s="55"/>
    </row>
    <row r="66" spans="1:10" ht="18" x14ac:dyDescent="0.2">
      <c r="A66" s="795">
        <v>14</v>
      </c>
      <c r="B66" s="34" t="s">
        <v>211</v>
      </c>
      <c r="C66" s="814">
        <v>6</v>
      </c>
      <c r="D66" s="814">
        <v>6</v>
      </c>
      <c r="E66" s="814">
        <v>4</v>
      </c>
      <c r="F66" s="19"/>
      <c r="G66" s="814">
        <v>4</v>
      </c>
      <c r="H66" s="30"/>
      <c r="I66" s="74"/>
      <c r="J66" s="75"/>
    </row>
    <row r="67" spans="1:10" ht="17" x14ac:dyDescent="0.2">
      <c r="A67" s="789"/>
      <c r="B67" s="35"/>
      <c r="C67" s="794"/>
      <c r="D67" s="794"/>
      <c r="E67" s="794"/>
      <c r="F67" s="32"/>
      <c r="G67" s="794"/>
      <c r="H67" s="33"/>
      <c r="I67" s="77"/>
      <c r="J67" s="78"/>
    </row>
    <row r="68" spans="1:10" ht="17" x14ac:dyDescent="0.2">
      <c r="A68" s="789"/>
      <c r="B68" s="35"/>
      <c r="C68" s="794"/>
      <c r="D68" s="794"/>
      <c r="E68" s="794"/>
      <c r="F68" s="32"/>
      <c r="G68" s="794"/>
      <c r="H68" s="33"/>
      <c r="I68" s="77"/>
      <c r="J68" s="78"/>
    </row>
    <row r="69" spans="1:10" ht="17" x14ac:dyDescent="0.2">
      <c r="A69" s="789"/>
      <c r="B69" s="35"/>
      <c r="C69" s="794"/>
      <c r="D69" s="794"/>
      <c r="E69" s="794"/>
      <c r="F69" s="32"/>
      <c r="G69" s="794"/>
      <c r="H69" s="33"/>
      <c r="I69" s="77"/>
      <c r="J69" s="78"/>
    </row>
    <row r="70" spans="1:10" ht="17" x14ac:dyDescent="0.2">
      <c r="A70" s="789"/>
      <c r="B70" s="35"/>
      <c r="C70" s="794"/>
      <c r="D70" s="794"/>
      <c r="E70" s="794"/>
      <c r="F70" s="32"/>
      <c r="G70" s="794"/>
      <c r="H70" s="33"/>
      <c r="I70" s="77"/>
      <c r="J70" s="78"/>
    </row>
    <row r="71" spans="1:10" ht="17" x14ac:dyDescent="0.2">
      <c r="A71" s="796"/>
      <c r="B71" s="36"/>
      <c r="C71" s="815"/>
      <c r="D71" s="815"/>
      <c r="E71" s="815"/>
      <c r="F71" s="29"/>
      <c r="G71" s="815"/>
      <c r="H71" s="27"/>
      <c r="I71" s="119"/>
      <c r="J71" s="120"/>
    </row>
    <row r="72" spans="1:10" ht="17" x14ac:dyDescent="0.2">
      <c r="A72" s="785">
        <v>15</v>
      </c>
      <c r="B72" s="811" t="s">
        <v>212</v>
      </c>
      <c r="C72" s="790">
        <v>6</v>
      </c>
      <c r="D72" s="790">
        <v>6</v>
      </c>
      <c r="E72" s="790">
        <v>0</v>
      </c>
      <c r="F72" s="19"/>
      <c r="G72" s="790">
        <v>0</v>
      </c>
      <c r="H72" s="30"/>
      <c r="I72" s="74"/>
      <c r="J72" s="75"/>
    </row>
    <row r="73" spans="1:10" ht="17" x14ac:dyDescent="0.2">
      <c r="A73" s="786"/>
      <c r="B73" s="812"/>
      <c r="C73" s="791"/>
      <c r="D73" s="791"/>
      <c r="E73" s="791"/>
      <c r="F73" s="21"/>
      <c r="G73" s="791"/>
      <c r="H73" s="22"/>
      <c r="I73" s="61"/>
      <c r="J73" s="62"/>
    </row>
    <row r="74" spans="1:10" ht="17" x14ac:dyDescent="0.2">
      <c r="A74" s="788"/>
      <c r="B74" s="813"/>
      <c r="C74" s="792"/>
      <c r="D74" s="792"/>
      <c r="E74" s="792"/>
      <c r="F74" s="29"/>
      <c r="G74" s="792"/>
      <c r="H74" s="27"/>
      <c r="I74" s="65"/>
      <c r="J74" s="66"/>
    </row>
    <row r="75" spans="1:10" ht="18" x14ac:dyDescent="0.2">
      <c r="A75" s="785">
        <v>16</v>
      </c>
      <c r="B75" s="16" t="s">
        <v>213</v>
      </c>
      <c r="C75" s="790">
        <v>6</v>
      </c>
      <c r="D75" s="790">
        <v>6</v>
      </c>
      <c r="E75" s="790">
        <v>5</v>
      </c>
      <c r="F75" s="19">
        <v>1</v>
      </c>
      <c r="G75" s="790">
        <v>4</v>
      </c>
      <c r="H75" s="30" t="s">
        <v>214</v>
      </c>
      <c r="I75" s="60" t="s">
        <v>215</v>
      </c>
      <c r="J75" s="60" t="s">
        <v>166</v>
      </c>
    </row>
    <row r="76" spans="1:10" ht="17" x14ac:dyDescent="0.2">
      <c r="A76" s="786"/>
      <c r="B76" s="18"/>
      <c r="C76" s="791"/>
      <c r="D76" s="791"/>
      <c r="E76" s="791"/>
      <c r="F76" s="21"/>
      <c r="G76" s="791"/>
      <c r="H76" s="22"/>
      <c r="I76" s="63"/>
      <c r="J76" s="64"/>
    </row>
    <row r="77" spans="1:10" ht="17" x14ac:dyDescent="0.2">
      <c r="A77" s="786"/>
      <c r="B77" s="18"/>
      <c r="C77" s="791"/>
      <c r="D77" s="791"/>
      <c r="E77" s="791"/>
      <c r="F77" s="21"/>
      <c r="G77" s="791"/>
      <c r="H77" s="22"/>
      <c r="I77" s="61"/>
      <c r="J77" s="62"/>
    </row>
    <row r="78" spans="1:10" ht="17" x14ac:dyDescent="0.2">
      <c r="A78" s="786"/>
      <c r="B78" s="18"/>
      <c r="C78" s="791"/>
      <c r="D78" s="791"/>
      <c r="E78" s="791"/>
      <c r="F78" s="21"/>
      <c r="G78" s="791"/>
      <c r="H78" s="22"/>
      <c r="I78" s="61"/>
      <c r="J78" s="62"/>
    </row>
    <row r="79" spans="1:10" ht="17" x14ac:dyDescent="0.2">
      <c r="A79" s="787"/>
      <c r="B79" s="18"/>
      <c r="C79" s="793"/>
      <c r="D79" s="793"/>
      <c r="E79" s="793"/>
      <c r="F79" s="52"/>
      <c r="G79" s="793"/>
      <c r="H79" s="50"/>
      <c r="I79" s="121"/>
      <c r="J79" s="122"/>
    </row>
    <row r="80" spans="1:10" ht="17" x14ac:dyDescent="0.2">
      <c r="A80" s="787"/>
      <c r="B80" s="18"/>
      <c r="C80" s="793"/>
      <c r="D80" s="793"/>
      <c r="E80" s="793"/>
      <c r="F80" s="52"/>
      <c r="G80" s="793"/>
      <c r="H80" s="50"/>
      <c r="I80" s="121"/>
      <c r="J80" s="122"/>
    </row>
    <row r="81" spans="1:10" ht="17" x14ac:dyDescent="0.2">
      <c r="A81" s="788"/>
      <c r="B81" s="25"/>
      <c r="C81" s="792"/>
      <c r="D81" s="792"/>
      <c r="E81" s="792"/>
      <c r="F81" s="29"/>
      <c r="G81" s="792"/>
      <c r="H81" s="27"/>
      <c r="I81" s="65"/>
      <c r="J81" s="66"/>
    </row>
    <row r="82" spans="1:10" ht="18" x14ac:dyDescent="0.2">
      <c r="A82" s="799">
        <v>17</v>
      </c>
      <c r="B82" s="103" t="s">
        <v>216</v>
      </c>
      <c r="C82" s="790">
        <v>6</v>
      </c>
      <c r="D82" s="790">
        <v>6</v>
      </c>
      <c r="E82" s="790">
        <v>9</v>
      </c>
      <c r="F82" s="104">
        <v>2</v>
      </c>
      <c r="G82" s="790">
        <v>1</v>
      </c>
      <c r="H82" s="20" t="s">
        <v>177</v>
      </c>
      <c r="I82" s="123" t="s">
        <v>174</v>
      </c>
      <c r="J82" s="124" t="s">
        <v>175</v>
      </c>
    </row>
    <row r="83" spans="1:10" ht="17" x14ac:dyDescent="0.2">
      <c r="A83" s="800"/>
      <c r="B83" s="105"/>
      <c r="C83" s="791"/>
      <c r="D83" s="791"/>
      <c r="E83" s="791"/>
      <c r="F83" s="23">
        <v>1</v>
      </c>
      <c r="G83" s="791"/>
      <c r="H83" s="20" t="s">
        <v>217</v>
      </c>
      <c r="I83" s="55" t="s">
        <v>165</v>
      </c>
      <c r="J83" s="55" t="s">
        <v>166</v>
      </c>
    </row>
    <row r="84" spans="1:10" ht="18" x14ac:dyDescent="0.2">
      <c r="A84" s="800"/>
      <c r="B84" s="105"/>
      <c r="C84" s="791"/>
      <c r="D84" s="791"/>
      <c r="E84" s="791"/>
      <c r="F84" s="23">
        <v>2</v>
      </c>
      <c r="G84" s="791"/>
      <c r="H84" s="22" t="s">
        <v>178</v>
      </c>
      <c r="I84" s="125" t="s">
        <v>171</v>
      </c>
      <c r="J84" s="126" t="s">
        <v>172</v>
      </c>
    </row>
    <row r="85" spans="1:10" ht="18" x14ac:dyDescent="0.2">
      <c r="A85" s="801"/>
      <c r="B85" s="105"/>
      <c r="C85" s="793"/>
      <c r="D85" s="793"/>
      <c r="E85" s="793"/>
      <c r="F85" s="49">
        <v>1</v>
      </c>
      <c r="G85" s="793"/>
      <c r="H85" s="50" t="s">
        <v>164</v>
      </c>
      <c r="I85" s="61" t="s">
        <v>165</v>
      </c>
      <c r="J85" s="62" t="s">
        <v>180</v>
      </c>
    </row>
    <row r="86" spans="1:10" ht="18" x14ac:dyDescent="0.2">
      <c r="A86" s="802"/>
      <c r="B86" s="105"/>
      <c r="C86" s="791"/>
      <c r="D86" s="791"/>
      <c r="E86" s="791"/>
      <c r="F86" s="23">
        <v>2</v>
      </c>
      <c r="G86" s="791"/>
      <c r="H86" s="22" t="s">
        <v>167</v>
      </c>
      <c r="I86" s="55" t="s">
        <v>218</v>
      </c>
      <c r="J86" s="55" t="s">
        <v>219</v>
      </c>
    </row>
    <row r="87" spans="1:10" ht="17" x14ac:dyDescent="0.2">
      <c r="A87" s="803"/>
      <c r="B87" s="105"/>
      <c r="C87" s="816"/>
      <c r="D87" s="816"/>
      <c r="E87" s="816"/>
      <c r="F87" s="106"/>
      <c r="G87" s="816"/>
      <c r="H87" s="107"/>
      <c r="I87" s="61"/>
      <c r="J87" s="62"/>
    </row>
    <row r="88" spans="1:10" ht="17" x14ac:dyDescent="0.2">
      <c r="A88" s="800"/>
      <c r="B88" s="105"/>
      <c r="C88" s="791"/>
      <c r="D88" s="791"/>
      <c r="E88" s="791"/>
      <c r="F88" s="23"/>
      <c r="G88" s="791"/>
      <c r="H88" s="22"/>
      <c r="I88" s="61"/>
      <c r="J88" s="62"/>
    </row>
    <row r="89" spans="1:10" ht="17" x14ac:dyDescent="0.2">
      <c r="A89" s="800"/>
      <c r="B89" s="105"/>
      <c r="C89" s="791"/>
      <c r="D89" s="791"/>
      <c r="E89" s="791"/>
      <c r="F89" s="23"/>
      <c r="G89" s="791"/>
      <c r="H89" s="22"/>
      <c r="I89" s="61"/>
      <c r="J89" s="62"/>
    </row>
    <row r="90" spans="1:10" ht="17" x14ac:dyDescent="0.2">
      <c r="A90" s="800"/>
      <c r="B90" s="105"/>
      <c r="C90" s="791"/>
      <c r="D90" s="791"/>
      <c r="E90" s="791"/>
      <c r="F90" s="23"/>
      <c r="G90" s="791"/>
      <c r="H90" s="22"/>
      <c r="I90" s="61"/>
      <c r="J90" s="62"/>
    </row>
    <row r="91" spans="1:10" ht="17" x14ac:dyDescent="0.2">
      <c r="A91" s="804"/>
      <c r="B91" s="108"/>
      <c r="C91" s="792"/>
      <c r="D91" s="792"/>
      <c r="E91" s="792"/>
      <c r="F91" s="26"/>
      <c r="G91" s="792"/>
      <c r="H91" s="27"/>
      <c r="I91" s="65"/>
      <c r="J91" s="66"/>
    </row>
    <row r="92" spans="1:10" ht="18" x14ac:dyDescent="0.2">
      <c r="A92" s="805">
        <v>18</v>
      </c>
      <c r="B92" s="109" t="s">
        <v>220</v>
      </c>
      <c r="C92" s="110">
        <v>6</v>
      </c>
      <c r="D92" s="110">
        <v>6</v>
      </c>
      <c r="E92" s="110">
        <v>2</v>
      </c>
      <c r="F92" s="111">
        <v>1</v>
      </c>
      <c r="G92" s="110">
        <v>1</v>
      </c>
      <c r="H92" s="112" t="s">
        <v>205</v>
      </c>
      <c r="I92" s="127" t="s">
        <v>191</v>
      </c>
      <c r="J92" s="128" t="s">
        <v>192</v>
      </c>
    </row>
    <row r="93" spans="1:10" x14ac:dyDescent="0.2">
      <c r="A93" s="806"/>
      <c r="B93"/>
      <c r="H93"/>
    </row>
    <row r="94" spans="1:10" ht="18" x14ac:dyDescent="0.2">
      <c r="A94" s="805">
        <v>19</v>
      </c>
      <c r="B94" s="103" t="s">
        <v>221</v>
      </c>
      <c r="C94" s="814">
        <v>6</v>
      </c>
      <c r="D94" s="814">
        <v>6</v>
      </c>
      <c r="E94" s="814">
        <v>3</v>
      </c>
      <c r="F94" s="113">
        <v>1</v>
      </c>
      <c r="G94" s="814">
        <v>0</v>
      </c>
      <c r="H94" s="42" t="s">
        <v>217</v>
      </c>
      <c r="I94" s="123" t="s">
        <v>222</v>
      </c>
      <c r="J94" s="124" t="s">
        <v>223</v>
      </c>
    </row>
    <row r="95" spans="1:10" ht="17" x14ac:dyDescent="0.2">
      <c r="A95" s="802"/>
      <c r="B95" s="105"/>
      <c r="C95" s="791"/>
      <c r="D95" s="791"/>
      <c r="E95" s="791"/>
      <c r="F95" s="23">
        <v>1</v>
      </c>
      <c r="G95" s="791"/>
      <c r="H95" s="20" t="s">
        <v>173</v>
      </c>
      <c r="I95" s="67" t="s">
        <v>171</v>
      </c>
      <c r="J95" s="68" t="s">
        <v>172</v>
      </c>
    </row>
    <row r="96" spans="1:10" ht="17" x14ac:dyDescent="0.2">
      <c r="A96" s="807"/>
      <c r="B96" s="105"/>
      <c r="C96" s="794"/>
      <c r="D96" s="794"/>
      <c r="E96" s="794"/>
      <c r="F96" s="114"/>
      <c r="G96" s="794"/>
      <c r="H96" s="20"/>
      <c r="I96" s="129"/>
      <c r="J96" s="130"/>
    </row>
    <row r="97" spans="1:10" ht="17" x14ac:dyDescent="0.2">
      <c r="A97" s="806"/>
      <c r="B97" s="108"/>
      <c r="C97" s="815"/>
      <c r="D97" s="815"/>
      <c r="E97" s="815"/>
      <c r="F97" s="115"/>
      <c r="G97" s="815"/>
      <c r="H97" s="20" t="s">
        <v>207</v>
      </c>
      <c r="I97" s="55" t="s">
        <v>165</v>
      </c>
      <c r="J97" s="55" t="s">
        <v>180</v>
      </c>
    </row>
    <row r="98" spans="1:10" ht="16.5" customHeight="1" x14ac:dyDescent="0.2">
      <c r="A98" s="805">
        <v>20</v>
      </c>
      <c r="B98" s="103" t="s">
        <v>224</v>
      </c>
      <c r="C98" s="814">
        <v>6</v>
      </c>
      <c r="D98" s="814">
        <v>6</v>
      </c>
      <c r="E98" s="814">
        <v>2</v>
      </c>
      <c r="F98" s="104">
        <v>1</v>
      </c>
      <c r="G98" s="814">
        <v>1</v>
      </c>
      <c r="H98" s="30" t="s">
        <v>225</v>
      </c>
      <c r="I98" s="55" t="s">
        <v>218</v>
      </c>
      <c r="J98" s="55" t="s">
        <v>219</v>
      </c>
    </row>
    <row r="99" spans="1:10" ht="16.5" customHeight="1" x14ac:dyDescent="0.2">
      <c r="A99" s="808"/>
      <c r="B99" s="105"/>
      <c r="C99" s="794"/>
      <c r="D99" s="794"/>
      <c r="E99" s="794"/>
      <c r="F99" s="114"/>
      <c r="G99" s="794"/>
      <c r="H99" s="33"/>
      <c r="I99" s="55"/>
      <c r="J99" s="55"/>
    </row>
    <row r="100" spans="1:10" ht="16.5" customHeight="1" x14ac:dyDescent="0.2">
      <c r="A100" s="808"/>
      <c r="B100" s="105"/>
      <c r="C100" s="794"/>
      <c r="D100" s="794"/>
      <c r="E100" s="794"/>
      <c r="F100" s="114"/>
      <c r="G100" s="794"/>
      <c r="H100" s="33"/>
      <c r="I100" s="55"/>
      <c r="J100" s="55"/>
    </row>
    <row r="101" spans="1:10" ht="16.5" customHeight="1" x14ac:dyDescent="0.2">
      <c r="A101" s="808"/>
      <c r="B101" s="105"/>
      <c r="C101" s="794"/>
      <c r="D101" s="794"/>
      <c r="E101" s="794"/>
      <c r="F101" s="114"/>
      <c r="G101" s="794"/>
      <c r="H101" s="33"/>
      <c r="I101" s="55"/>
      <c r="J101" s="55"/>
    </row>
    <row r="102" spans="1:10" ht="16.5" customHeight="1" x14ac:dyDescent="0.2">
      <c r="A102" s="808"/>
      <c r="B102" s="105"/>
      <c r="C102" s="794"/>
      <c r="D102" s="794"/>
      <c r="E102" s="794"/>
      <c r="F102" s="114"/>
      <c r="G102" s="794"/>
      <c r="H102" s="33"/>
      <c r="I102" s="55"/>
      <c r="J102" s="55"/>
    </row>
    <row r="103" spans="1:10" ht="16.5" customHeight="1" x14ac:dyDescent="0.2">
      <c r="A103" s="808"/>
      <c r="B103" s="105"/>
      <c r="C103" s="794"/>
      <c r="D103" s="794"/>
      <c r="E103" s="794"/>
      <c r="F103" s="114"/>
      <c r="G103" s="794"/>
      <c r="H103" s="33"/>
      <c r="I103" s="55"/>
      <c r="J103" s="55"/>
    </row>
    <row r="104" spans="1:10" ht="16.5" customHeight="1" x14ac:dyDescent="0.2">
      <c r="A104" s="808"/>
      <c r="B104" s="105"/>
      <c r="C104" s="794"/>
      <c r="D104" s="794"/>
      <c r="E104" s="794"/>
      <c r="F104" s="114"/>
      <c r="G104" s="794"/>
      <c r="H104" s="33"/>
      <c r="I104" s="55"/>
      <c r="J104" s="55"/>
    </row>
    <row r="105" spans="1:10" ht="17" x14ac:dyDescent="0.2">
      <c r="A105" s="806"/>
      <c r="B105" s="108"/>
      <c r="C105" s="815"/>
      <c r="D105" s="815"/>
      <c r="E105" s="815"/>
      <c r="F105" s="26"/>
      <c r="G105" s="815"/>
      <c r="H105" s="27"/>
      <c r="I105" s="60"/>
      <c r="J105" s="60"/>
    </row>
    <row r="106" spans="1:10" ht="18" x14ac:dyDescent="0.2">
      <c r="A106" s="116"/>
      <c r="B106" s="117" t="s">
        <v>47</v>
      </c>
      <c r="C106" s="111"/>
      <c r="D106" s="111"/>
      <c r="E106" s="111">
        <f>SUM(E3:E105)</f>
        <v>70</v>
      </c>
      <c r="F106" s="111">
        <f>SUM(F4:F105)</f>
        <v>44</v>
      </c>
      <c r="G106" s="111">
        <f>SUM(G3:G105)</f>
        <v>28</v>
      </c>
      <c r="H106" s="118"/>
      <c r="I106" s="131"/>
      <c r="J106" s="132"/>
    </row>
  </sheetData>
  <autoFilter ref="A1:J106" xr:uid="{00000000-0009-0000-0000-000014000000}"/>
  <mergeCells count="96">
    <mergeCell ref="G75:G81"/>
    <mergeCell ref="G82:G91"/>
    <mergeCell ref="G94:G97"/>
    <mergeCell ref="G98:G105"/>
    <mergeCell ref="H1:H2"/>
    <mergeCell ref="E98:E105"/>
    <mergeCell ref="F1:F2"/>
    <mergeCell ref="G1:G2"/>
    <mergeCell ref="G3:G10"/>
    <mergeCell ref="G11:G15"/>
    <mergeCell ref="G16:G20"/>
    <mergeCell ref="G21:G23"/>
    <mergeCell ref="G24:G26"/>
    <mergeCell ref="G27:G29"/>
    <mergeCell ref="G30:G32"/>
    <mergeCell ref="G37:G49"/>
    <mergeCell ref="G50:G55"/>
    <mergeCell ref="G56:G60"/>
    <mergeCell ref="G61:G65"/>
    <mergeCell ref="G66:G71"/>
    <mergeCell ref="G72:G74"/>
    <mergeCell ref="E66:E71"/>
    <mergeCell ref="E72:E74"/>
    <mergeCell ref="E75:E81"/>
    <mergeCell ref="E82:E91"/>
    <mergeCell ref="E94:E97"/>
    <mergeCell ref="D75:D81"/>
    <mergeCell ref="D82:D91"/>
    <mergeCell ref="D94:D97"/>
    <mergeCell ref="D98:D105"/>
    <mergeCell ref="E1:E2"/>
    <mergeCell ref="E3:E10"/>
    <mergeCell ref="E11:E15"/>
    <mergeCell ref="E16:E20"/>
    <mergeCell ref="E21:E23"/>
    <mergeCell ref="E24:E26"/>
    <mergeCell ref="E27:E29"/>
    <mergeCell ref="E30:E32"/>
    <mergeCell ref="E37:E49"/>
    <mergeCell ref="E50:E55"/>
    <mergeCell ref="E56:E60"/>
    <mergeCell ref="E61:E65"/>
    <mergeCell ref="D50:D55"/>
    <mergeCell ref="D56:D60"/>
    <mergeCell ref="D61:D65"/>
    <mergeCell ref="D66:D71"/>
    <mergeCell ref="D72:D74"/>
    <mergeCell ref="D21:D23"/>
    <mergeCell ref="D24:D26"/>
    <mergeCell ref="D27:D29"/>
    <mergeCell ref="D30:D32"/>
    <mergeCell ref="D37:D49"/>
    <mergeCell ref="C72:C74"/>
    <mergeCell ref="C75:C81"/>
    <mergeCell ref="C82:C91"/>
    <mergeCell ref="C94:C97"/>
    <mergeCell ref="C98:C105"/>
    <mergeCell ref="A94:A97"/>
    <mergeCell ref="A98:A105"/>
    <mergeCell ref="B1:B2"/>
    <mergeCell ref="B72:B74"/>
    <mergeCell ref="C3:C10"/>
    <mergeCell ref="C11:C15"/>
    <mergeCell ref="C16:C20"/>
    <mergeCell ref="C21:C23"/>
    <mergeCell ref="C24:C26"/>
    <mergeCell ref="C27:C29"/>
    <mergeCell ref="C30:C32"/>
    <mergeCell ref="C37:C49"/>
    <mergeCell ref="C50:C55"/>
    <mergeCell ref="C56:C60"/>
    <mergeCell ref="C61:C65"/>
    <mergeCell ref="C66:C71"/>
    <mergeCell ref="A66:A71"/>
    <mergeCell ref="A72:A74"/>
    <mergeCell ref="A75:A81"/>
    <mergeCell ref="A82:A91"/>
    <mergeCell ref="A92:A93"/>
    <mergeCell ref="A35:A36"/>
    <mergeCell ref="A37:A49"/>
    <mergeCell ref="A50:A55"/>
    <mergeCell ref="A56:A60"/>
    <mergeCell ref="A61:A65"/>
    <mergeCell ref="A21:A23"/>
    <mergeCell ref="A24:A26"/>
    <mergeCell ref="A27:A29"/>
    <mergeCell ref="A30:A32"/>
    <mergeCell ref="A33:A34"/>
    <mergeCell ref="C1:D1"/>
    <mergeCell ref="I1:J1"/>
    <mergeCell ref="A1:A2"/>
    <mergeCell ref="A11:A15"/>
    <mergeCell ref="A16:A20"/>
    <mergeCell ref="D3:D10"/>
    <mergeCell ref="D11:D15"/>
    <mergeCell ref="D16:D20"/>
  </mergeCells>
  <pageMargins left="0.24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W8"/>
  <sheetViews>
    <sheetView workbookViewId="0">
      <selection activeCell="B19" sqref="B19"/>
    </sheetView>
  </sheetViews>
  <sheetFormatPr baseColWidth="10" defaultColWidth="9.1640625" defaultRowHeight="15" x14ac:dyDescent="0.2"/>
  <cols>
    <col min="1" max="1" width="9" customWidth="1"/>
    <col min="2" max="2" width="41" customWidth="1"/>
    <col min="3" max="3" width="9.1640625" customWidth="1"/>
    <col min="4" max="4" width="16.6640625" customWidth="1"/>
    <col min="5" max="5" width="3.6640625" customWidth="1"/>
    <col min="6" max="6" width="3.33203125" customWidth="1"/>
    <col min="7" max="7" width="8" customWidth="1"/>
    <col min="8" max="8" width="10.33203125" customWidth="1"/>
    <col min="9" max="9" width="6" customWidth="1"/>
    <col min="10" max="10" width="9.1640625" customWidth="1"/>
    <col min="11" max="11" width="13.33203125" customWidth="1"/>
    <col min="12" max="12" width="12.1640625" customWidth="1"/>
    <col min="13" max="13" width="8" customWidth="1"/>
    <col min="14" max="14" width="4.5" customWidth="1"/>
    <col min="15" max="15" width="14" customWidth="1"/>
    <col min="16" max="16" width="17.1640625" customWidth="1"/>
    <col min="17" max="17" width="15.5" customWidth="1"/>
    <col min="18" max="18" width="8.5" customWidth="1"/>
    <col min="19" max="19" width="24" customWidth="1"/>
    <col min="20" max="20" width="22.1640625" customWidth="1"/>
    <col min="21" max="21" width="7.1640625" customWidth="1"/>
    <col min="22" max="22" width="9" customWidth="1"/>
  </cols>
  <sheetData>
    <row r="1" spans="1:23" s="1" customFormat="1" ht="17" x14ac:dyDescent="0.2">
      <c r="A1" s="824" t="s">
        <v>48</v>
      </c>
      <c r="B1" s="824" t="s">
        <v>95</v>
      </c>
      <c r="C1" s="824" t="s">
        <v>50</v>
      </c>
      <c r="D1" s="824" t="s">
        <v>3</v>
      </c>
      <c r="E1" s="823" t="s">
        <v>52</v>
      </c>
      <c r="F1" s="823"/>
      <c r="G1" s="824" t="s">
        <v>226</v>
      </c>
      <c r="H1" s="824" t="s">
        <v>227</v>
      </c>
      <c r="I1" s="824" t="s">
        <v>51</v>
      </c>
      <c r="J1" s="824" t="s">
        <v>11</v>
      </c>
      <c r="K1" s="824" t="s">
        <v>228</v>
      </c>
      <c r="L1" s="824" t="s">
        <v>85</v>
      </c>
      <c r="M1" s="823" t="s">
        <v>55</v>
      </c>
      <c r="N1" s="823"/>
      <c r="O1" s="824" t="s">
        <v>229</v>
      </c>
      <c r="P1" s="824" t="s">
        <v>162</v>
      </c>
      <c r="Q1" s="827" t="s">
        <v>58</v>
      </c>
      <c r="R1" s="823" t="s">
        <v>18</v>
      </c>
      <c r="S1" s="824" t="s">
        <v>230</v>
      </c>
      <c r="T1" s="824" t="s">
        <v>231</v>
      </c>
      <c r="U1" s="826" t="s">
        <v>232</v>
      </c>
      <c r="V1" s="826" t="s">
        <v>16</v>
      </c>
      <c r="W1" s="9"/>
    </row>
    <row r="2" spans="1:23" s="1" customFormat="1" ht="18" x14ac:dyDescent="0.2">
      <c r="A2" s="825"/>
      <c r="B2" s="825"/>
      <c r="C2" s="825"/>
      <c r="D2" s="825"/>
      <c r="E2" s="2" t="s">
        <v>4</v>
      </c>
      <c r="F2" s="3" t="s">
        <v>5</v>
      </c>
      <c r="G2" s="825"/>
      <c r="H2" s="825"/>
      <c r="I2" s="825"/>
      <c r="J2" s="825"/>
      <c r="K2" s="825"/>
      <c r="L2" s="825"/>
      <c r="M2" s="2" t="s">
        <v>13</v>
      </c>
      <c r="N2" s="2" t="s">
        <v>14</v>
      </c>
      <c r="O2" s="825"/>
      <c r="P2" s="825"/>
      <c r="Q2" s="827"/>
      <c r="R2" s="823"/>
      <c r="S2" s="825"/>
      <c r="T2" s="825"/>
      <c r="U2" s="826"/>
      <c r="V2" s="826"/>
      <c r="W2" s="9"/>
    </row>
    <row r="3" spans="1:23" ht="17" x14ac:dyDescent="0.2">
      <c r="A3" s="4">
        <v>1</v>
      </c>
      <c r="B3" s="5" t="s">
        <v>233</v>
      </c>
      <c r="C3" s="4" t="s">
        <v>234</v>
      </c>
      <c r="D3" s="4" t="s">
        <v>235</v>
      </c>
      <c r="E3" s="4">
        <v>5</v>
      </c>
      <c r="F3" s="4">
        <v>5</v>
      </c>
      <c r="G3" s="4">
        <v>3</v>
      </c>
      <c r="H3" s="4">
        <f>E3*F3*G3</f>
        <v>75</v>
      </c>
      <c r="I3" s="4">
        <v>1</v>
      </c>
      <c r="J3" s="4">
        <v>10000</v>
      </c>
      <c r="K3" s="4">
        <v>10000</v>
      </c>
      <c r="L3" s="4">
        <v>12000</v>
      </c>
      <c r="M3" s="4"/>
      <c r="N3" s="4"/>
      <c r="O3" s="7" t="s">
        <v>91</v>
      </c>
      <c r="P3" s="7" t="s">
        <v>91</v>
      </c>
      <c r="Q3" s="4"/>
      <c r="R3" s="4"/>
      <c r="S3" s="10"/>
      <c r="T3" s="10"/>
      <c r="U3" s="10"/>
      <c r="V3" s="10"/>
      <c r="W3" s="11"/>
    </row>
    <row r="4" spans="1:23" ht="17" x14ac:dyDescent="0.2">
      <c r="A4" s="4">
        <v>2</v>
      </c>
      <c r="B4" s="5" t="s">
        <v>236</v>
      </c>
      <c r="C4" s="4" t="s">
        <v>234</v>
      </c>
      <c r="D4" s="4" t="s">
        <v>235</v>
      </c>
      <c r="E4" s="4">
        <v>5</v>
      </c>
      <c r="F4" s="4">
        <v>5</v>
      </c>
      <c r="G4" s="4">
        <v>3</v>
      </c>
      <c r="H4" s="4">
        <f>E4*F4*G4</f>
        <v>75</v>
      </c>
      <c r="I4" s="4">
        <v>1</v>
      </c>
      <c r="J4" s="4">
        <v>10000</v>
      </c>
      <c r="K4" s="4">
        <v>10000</v>
      </c>
      <c r="L4" s="4">
        <v>12000</v>
      </c>
      <c r="M4" s="4"/>
      <c r="N4" s="4"/>
      <c r="O4" s="7" t="s">
        <v>91</v>
      </c>
      <c r="P4" s="7" t="s">
        <v>91</v>
      </c>
      <c r="Q4" s="12"/>
      <c r="R4" s="4"/>
      <c r="S4" s="10"/>
      <c r="T4" s="10"/>
      <c r="U4" s="10"/>
      <c r="V4" s="10"/>
      <c r="W4" s="11"/>
    </row>
    <row r="5" spans="1:23" ht="17" x14ac:dyDescent="0.2">
      <c r="A5" s="4">
        <v>3</v>
      </c>
      <c r="B5" s="5" t="s">
        <v>237</v>
      </c>
      <c r="C5" s="4" t="s">
        <v>234</v>
      </c>
      <c r="D5" s="4" t="s">
        <v>235</v>
      </c>
      <c r="E5" s="4">
        <v>5</v>
      </c>
      <c r="F5" s="4">
        <v>5</v>
      </c>
      <c r="G5" s="4">
        <v>3</v>
      </c>
      <c r="H5" s="4">
        <f>E5*F5*G5</f>
        <v>75</v>
      </c>
      <c r="I5" s="4">
        <v>1</v>
      </c>
      <c r="J5" s="4">
        <v>10000</v>
      </c>
      <c r="K5" s="4">
        <v>10000</v>
      </c>
      <c r="L5" s="4">
        <v>12000</v>
      </c>
      <c r="M5" s="4"/>
      <c r="N5" s="4"/>
      <c r="O5" s="7" t="s">
        <v>91</v>
      </c>
      <c r="P5" s="7" t="s">
        <v>91</v>
      </c>
      <c r="Q5" s="4"/>
      <c r="R5" s="4"/>
      <c r="S5" s="10"/>
      <c r="T5" s="10"/>
      <c r="U5" s="10"/>
      <c r="V5" s="10"/>
      <c r="W5" s="11"/>
    </row>
    <row r="6" spans="1:23" ht="17" x14ac:dyDescent="0.2">
      <c r="A6" s="4">
        <v>4</v>
      </c>
      <c r="B6" s="5" t="s">
        <v>238</v>
      </c>
      <c r="C6" s="4" t="s">
        <v>234</v>
      </c>
      <c r="D6" s="4" t="s">
        <v>235</v>
      </c>
      <c r="E6" s="4">
        <v>5</v>
      </c>
      <c r="F6" s="4">
        <v>5</v>
      </c>
      <c r="G6" s="4">
        <v>3</v>
      </c>
      <c r="H6" s="4">
        <f>E6*F6*G6</f>
        <v>75</v>
      </c>
      <c r="I6" s="4">
        <v>1</v>
      </c>
      <c r="J6" s="4">
        <v>10000</v>
      </c>
      <c r="K6" s="4">
        <v>10000</v>
      </c>
      <c r="L6" s="4">
        <v>12000</v>
      </c>
      <c r="M6" s="4"/>
      <c r="N6" s="4"/>
      <c r="O6" s="7" t="s">
        <v>91</v>
      </c>
      <c r="P6" s="7" t="s">
        <v>91</v>
      </c>
      <c r="Q6" s="4"/>
      <c r="R6" s="4"/>
      <c r="S6" s="10"/>
      <c r="T6" s="10"/>
      <c r="U6" s="10"/>
      <c r="V6" s="10"/>
      <c r="W6" s="11"/>
    </row>
    <row r="7" spans="1:23" ht="17" x14ac:dyDescent="0.2">
      <c r="A7" s="4">
        <v>5</v>
      </c>
      <c r="B7" s="5" t="s">
        <v>239</v>
      </c>
      <c r="C7" s="4" t="s">
        <v>234</v>
      </c>
      <c r="D7" s="4" t="s">
        <v>235</v>
      </c>
      <c r="E7" s="4">
        <v>5</v>
      </c>
      <c r="F7" s="4">
        <v>5</v>
      </c>
      <c r="G7" s="4">
        <v>3</v>
      </c>
      <c r="H7" s="4">
        <f>E7*F7*G7</f>
        <v>75</v>
      </c>
      <c r="I7" s="4">
        <v>1</v>
      </c>
      <c r="J7" s="4">
        <v>10000</v>
      </c>
      <c r="K7" s="4">
        <v>10000</v>
      </c>
      <c r="L7" s="4">
        <v>12000</v>
      </c>
      <c r="M7" s="4"/>
      <c r="N7" s="4"/>
      <c r="O7" s="7" t="s">
        <v>91</v>
      </c>
      <c r="P7" s="7" t="s">
        <v>91</v>
      </c>
      <c r="Q7" s="4"/>
      <c r="R7" s="4"/>
      <c r="S7" s="10"/>
      <c r="T7" s="10"/>
      <c r="U7" s="10"/>
      <c r="V7" s="10"/>
      <c r="W7" s="11"/>
    </row>
    <row r="8" spans="1:23" ht="17" x14ac:dyDescent="0.2">
      <c r="A8" s="6"/>
      <c r="B8" s="6" t="s">
        <v>47</v>
      </c>
      <c r="C8" s="6"/>
      <c r="D8" s="6"/>
      <c r="E8" s="6"/>
      <c r="F8" s="6"/>
      <c r="G8" s="6"/>
      <c r="H8" s="6">
        <f>SUM(H3:H7)</f>
        <v>375</v>
      </c>
      <c r="I8" s="6"/>
      <c r="J8" s="6"/>
      <c r="K8" s="6"/>
      <c r="L8" s="6">
        <f>SUM(L3:L7)</f>
        <v>60000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</row>
  </sheetData>
  <mergeCells count="20">
    <mergeCell ref="T1:T2"/>
    <mergeCell ref="U1:U2"/>
    <mergeCell ref="V1:V2"/>
    <mergeCell ref="O1:O2"/>
    <mergeCell ref="P1:P2"/>
    <mergeCell ref="Q1:Q2"/>
    <mergeCell ref="R1:R2"/>
    <mergeCell ref="S1:S2"/>
    <mergeCell ref="E1:F1"/>
    <mergeCell ref="M1:N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Nagpur</vt:lpstr>
      <vt:lpstr>pawar</vt:lpstr>
      <vt:lpstr>Amravati Hoarding</vt:lpstr>
      <vt:lpstr>Jhansi Rani Metro Station </vt:lpstr>
      <vt:lpstr>sitabuldi ichange metro Station</vt:lpstr>
      <vt:lpstr>Akola</vt:lpstr>
      <vt:lpstr>Bhandara Hoarding </vt:lpstr>
      <vt:lpstr>Eternity Mall</vt:lpstr>
      <vt:lpstr>NGP KIOSK</vt:lpstr>
      <vt:lpstr>Metro Median Signages New</vt:lpstr>
      <vt:lpstr>Akola Hoarding</vt:lpstr>
      <vt:lpstr>Chandrapur Hoarding</vt:lpstr>
      <vt:lpstr>Gondia</vt:lpstr>
      <vt:lpstr>Wardha</vt:lpstr>
      <vt:lpstr>Metro Pillar Signages CURRENT</vt:lpstr>
      <vt:lpstr>Avl sign list</vt:lpstr>
      <vt:lpstr>Sheet1</vt:lpstr>
      <vt:lpstr>Sheet3</vt:lpstr>
      <vt:lpstr>Amravati Kiosks</vt:lpstr>
      <vt:lpstr>Amravati IBS</vt:lpstr>
      <vt:lpstr>Amt Trfaffic booth</vt:lpstr>
      <vt:lpstr>'Metro Pillar Signages CURRENT'!Print_Area</vt:lpstr>
      <vt:lpstr>Nagpur!Print_Area</vt:lpstr>
      <vt:lpstr>'sitabuldi ichange metro Station'!Print_Area</vt:lpstr>
      <vt:lpstr>Wardha!Print_Area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</dc:creator>
  <cp:lastModifiedBy>Manan Mehta</cp:lastModifiedBy>
  <cp:lastPrinted>2026-06-09T05:35:30Z</cp:lastPrinted>
  <dcterms:created xsi:type="dcterms:W3CDTF">2006-09-16T00:00:00Z</dcterms:created>
  <dcterms:modified xsi:type="dcterms:W3CDTF">2026-06-30T06:27:04Z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